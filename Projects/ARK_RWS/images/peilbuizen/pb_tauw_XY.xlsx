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o/Development/python/mf6_tools/mf6lab/Projects/ARK_RWS/images/peilbuizen/"/>
    </mc:Choice>
  </mc:AlternateContent>
  <xr:revisionPtr revIDLastSave="0" documentId="13_ncr:1_{FBCAB357-67EC-8144-B7EE-87380E302C36}" xr6:coauthVersionLast="47" xr6:coauthVersionMax="47" xr10:uidLastSave="{00000000-0000-0000-0000-000000000000}"/>
  <bookViews>
    <workbookView xWindow="1020" yWindow="1680" windowWidth="32360" windowHeight="20720" xr2:uid="{E4383F88-647D-C347-BE79-FF24D0CA7E92}"/>
  </bookViews>
  <sheets>
    <sheet name="pbTauw" sheetId="1" r:id="rId1"/>
    <sheet name="calibfation_raai6" sheetId="11" r:id="rId2"/>
    <sheet name="tempvariatie" sheetId="9" r:id="rId3"/>
    <sheet name="Sheet1" sheetId="10" r:id="rId4"/>
    <sheet name="pbKanaal" sheetId="3" r:id="rId5"/>
    <sheet name="joined" sheetId="5" r:id="rId6"/>
    <sheet name="Sheet2" sheetId="4" r:id="rId7"/>
    <sheet name="laagopbouw" sheetId="6" r:id="rId8"/>
    <sheet name="wellen" sheetId="7" r:id="rId9"/>
    <sheet name="raaien" sheetId="8" r:id="rId10"/>
  </sheets>
  <definedNames>
    <definedName name="yyy" comment="Tijden en waarden van de stijghoogten gemiddeld over ca. 1 maand">Sheet2!$A$1:$G$67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7" i="10" l="1"/>
  <c r="C16" i="10"/>
  <c r="E14" i="10"/>
  <c r="E13" i="10"/>
  <c r="E12" i="10"/>
  <c r="E10" i="10"/>
  <c r="F10" i="10"/>
  <c r="G10" i="10"/>
  <c r="H10" i="10"/>
  <c r="J10" i="10"/>
  <c r="D10" i="10"/>
  <c r="H4" i="9"/>
  <c r="H5" i="9"/>
  <c r="H3" i="9"/>
  <c r="H2" i="9"/>
  <c r="E4" i="9"/>
  <c r="F3" i="6"/>
  <c r="G3" i="6"/>
  <c r="F4" i="6"/>
  <c r="G4" i="6"/>
  <c r="F5" i="6"/>
  <c r="G5" i="6"/>
  <c r="F6" i="6"/>
  <c r="G6" i="6"/>
  <c r="G2" i="6"/>
  <c r="F2" i="6"/>
  <c r="C6" i="6"/>
  <c r="B3" i="6"/>
  <c r="B4" i="6"/>
  <c r="B5" i="6"/>
  <c r="B2" i="6"/>
  <c r="N4" i="3"/>
  <c r="N5" i="3"/>
  <c r="N6" i="3"/>
  <c r="N7" i="3"/>
  <c r="N8" i="3"/>
  <c r="N9" i="3"/>
  <c r="N10" i="3"/>
  <c r="N11" i="3"/>
  <c r="N3" i="3"/>
  <c r="N2" i="3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1" i="1"/>
  <c r="M11" i="1"/>
  <c r="N11" i="1"/>
  <c r="L16" i="1"/>
  <c r="M16" i="1"/>
  <c r="N16" i="1"/>
  <c r="L17" i="1"/>
  <c r="M17" i="1"/>
  <c r="N17" i="1"/>
  <c r="L20" i="1"/>
  <c r="M20" i="1"/>
  <c r="N20" i="1"/>
  <c r="L21" i="1"/>
  <c r="M21" i="1"/>
  <c r="N21" i="1"/>
  <c r="L22" i="1"/>
  <c r="M22" i="1"/>
  <c r="N22" i="1"/>
  <c r="L25" i="1"/>
  <c r="M25" i="1"/>
  <c r="N25" i="1"/>
  <c r="L26" i="1"/>
  <c r="M26" i="1"/>
  <c r="N26" i="1"/>
  <c r="L27" i="1"/>
  <c r="M27" i="1"/>
  <c r="N27" i="1"/>
  <c r="L28" i="1"/>
  <c r="M28" i="1"/>
  <c r="N28" i="1"/>
  <c r="L30" i="1"/>
  <c r="M30" i="1"/>
  <c r="N30" i="1"/>
  <c r="L31" i="1"/>
  <c r="M31" i="1"/>
  <c r="N31" i="1"/>
  <c r="L32" i="1"/>
  <c r="M32" i="1"/>
  <c r="N32" i="1"/>
  <c r="L33" i="1"/>
  <c r="M33" i="1"/>
  <c r="N33" i="1"/>
  <c r="L35" i="1"/>
  <c r="M35" i="1"/>
  <c r="N35" i="1"/>
  <c r="L36" i="1"/>
  <c r="M36" i="1"/>
  <c r="N36" i="1"/>
  <c r="L37" i="1"/>
  <c r="M37" i="1"/>
  <c r="N37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5" i="1"/>
  <c r="M45" i="1"/>
  <c r="N45" i="1"/>
  <c r="L46" i="1"/>
  <c r="M46" i="1"/>
  <c r="N46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5" i="1"/>
  <c r="M75" i="1"/>
  <c r="N75" i="1"/>
  <c r="L76" i="1"/>
  <c r="M76" i="1"/>
  <c r="N76" i="1"/>
  <c r="L77" i="1"/>
  <c r="M77" i="1"/>
  <c r="N77" i="1"/>
  <c r="L78" i="1"/>
  <c r="M78" i="1"/>
  <c r="N78" i="1"/>
  <c r="N2" i="1"/>
  <c r="M2" i="1"/>
  <c r="L2" i="1"/>
  <c r="J5" i="3"/>
  <c r="J4" i="3"/>
  <c r="J3" i="3"/>
  <c r="J2" i="3"/>
  <c r="J7" i="3"/>
  <c r="J8" i="3"/>
  <c r="J9" i="3"/>
  <c r="J10" i="3"/>
  <c r="J11" i="3"/>
  <c r="J6" i="3"/>
  <c r="K33" i="1"/>
  <c r="K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2" i="1"/>
  <c r="C3" i="6" l="1"/>
  <c r="C4" i="6"/>
  <c r="C5" i="6"/>
  <c r="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tc={95439E0B-6EB4-BD47-AF36-A5E85E5E5076}</author>
    <author>tc={714614D2-AF81-2249-8198-9CF22CABD718}</author>
    <author>tc={0BD9E3A9-7250-AB4A-9C55-7743346E81B6}</author>
    <author>tc={E5F373E8-962D-444E-8793-DBE57649ECDA}</author>
    <author>tc={B3578689-F356-AB47-B4E7-CA07787A30DE}</author>
    <author>tc={DE6B0860-7B1E-8C4C-BAEE-D7947BAE7D3A}</author>
  </authors>
  <commentList>
    <comment ref="A1" authorId="0" shapeId="0" xr:uid="{95439E0B-6EB4-BD47-AF36-A5E85E5E50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714614D2-AF81-2249-8198-9CF22CAB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0BD9E3A9-7250-AB4A-9C55-7743346E8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E5F373E8-962D-444E-8793-DBE57649EC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B3578689-F356-AB47-B4E7-CA07787A30D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DE6B0860-7B1E-8C4C-BAEE-D7947BAE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tc={FECA8C00-68C0-DD46-B80A-61FAB26CD2FF}</author>
    <author>tc={EA8B7049-F16D-1A4E-9B05-962D57FD7349}</author>
    <author>tc={103F1F1E-1B0D-7A42-BA03-FE8C83672C88}</author>
    <author>tc={B8FC59BC-7188-294B-A60F-B7A58596012C}</author>
    <author>tc={E83EDFE8-9720-F742-949A-63A403E69D29}</author>
    <author>tc={459752B2-D12C-D347-9E36-E91C0A2DE90F}</author>
  </authors>
  <commentList>
    <comment ref="A1" authorId="0" shapeId="0" xr:uid="{FECA8C00-68C0-DD46-B80A-61FAB26CD2FF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EA8B7049-F16D-1A4E-9B05-962D57FD7349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103F1F1E-1B0D-7A42-BA03-FE8C83672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B8FC59BC-7188-294B-A60F-B7A5859601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83EDFE8-9720-F742-949A-63A403E6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59752B2-D12C-D347-9E36-E91C0A2DE90F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tc={AC64C9D2-3F61-AF47-A662-FF8893F20A4A}</author>
  </authors>
  <commentList>
    <comment ref="A1" authorId="0" shapeId="0" xr:uid="{AC64C9D2-3F61-AF47-A662-FF8893F20A4A}">
      <text>
        <t>[Threaded comment]
Your version of Excel allows you to read this threaded comment; however, any edits to it will get removed if the file is opened in a newer version of Excel. Learn more: https://go.microsoft.com/fwlink/?linkid=870924
Comment:
    pb_sondering_in_en_naast_ARK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tc={EA54E30D-7CD8-1447-B295-5C3649868975}</author>
    <author>tc={C1FC057E-89F7-C04A-A3A6-3B290DC88D5B}</author>
    <author>tc={8C7D1607-0B4B-1F48-80E0-4F19BE82BC63}</author>
    <author>tc={7AB98D01-BB68-BC40-BC97-FB55FC2F97FA}</author>
    <author>tc={EA0446A7-2830-EA43-B8CB-D4770C105AB7}</author>
    <author>tc={46E774F0-10B4-7D4D-928A-96D4926B283A}</author>
  </authors>
  <commentList>
    <comment ref="A1" authorId="0" shapeId="0" xr:uid="{EA54E30D-7CD8-1447-B295-5C3649868975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C1FC057E-89F7-C04A-A3A6-3B290DC88D5B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8C7D1607-0B4B-1F48-80E0-4F19BE82B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7AB98D01-BB68-BC40-BC97-FB55FC2F97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A0446A7-2830-EA43-B8CB-D4770C105AB7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6E774F0-10B4-7D4D-928A-96D4926B28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sharedStrings.xml><?xml version="1.0" encoding="utf-8"?>
<sst xmlns="http://schemas.openxmlformats.org/spreadsheetml/2006/main" count="319" uniqueCount="148">
  <si>
    <t>x</t>
  </si>
  <si>
    <t>y</t>
  </si>
  <si>
    <t>name</t>
  </si>
  <si>
    <t>xhit</t>
  </si>
  <si>
    <t>yhit</t>
  </si>
  <si>
    <t>W</t>
  </si>
  <si>
    <t>ZP</t>
  </si>
  <si>
    <t>WP</t>
  </si>
  <si>
    <t>WE</t>
  </si>
  <si>
    <t>raai</t>
  </si>
  <si>
    <t>dikte</t>
  </si>
  <si>
    <t>ok_deklaag</t>
  </si>
  <si>
    <t>bk_deklaag</t>
  </si>
  <si>
    <t>dist</t>
  </si>
  <si>
    <t>E</t>
  </si>
  <si>
    <t>onzeker_bk_laag</t>
  </si>
  <si>
    <t>inkanaal</t>
  </si>
  <si>
    <t>K</t>
  </si>
  <si>
    <t>A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</si>
  <si>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</si>
  <si>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</si>
  <si>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</si>
  <si>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</si>
  <si>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</si>
  <si>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</si>
  <si>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</si>
  <si>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</si>
  <si>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</si>
  <si>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pb101</t>
  </si>
  <si>
    <t>pb102</t>
  </si>
  <si>
    <t>pb201</t>
  </si>
  <si>
    <t>pb202</t>
  </si>
  <si>
    <t>pb301</t>
  </si>
  <si>
    <t>pb302</t>
  </si>
  <si>
    <t>pb303</t>
  </si>
  <si>
    <t>pb304</t>
  </si>
  <si>
    <t>pb401</t>
  </si>
  <si>
    <t>pb406</t>
  </si>
  <si>
    <t>pb407</t>
  </si>
  <si>
    <t>pb410</t>
  </si>
  <si>
    <t>pb411</t>
  </si>
  <si>
    <t>pb412</t>
  </si>
  <si>
    <t>pb503</t>
  </si>
  <si>
    <t>pb504</t>
  </si>
  <si>
    <t>pb505</t>
  </si>
  <si>
    <t>pb506</t>
  </si>
  <si>
    <t>pb508</t>
  </si>
  <si>
    <t>pb509</t>
  </si>
  <si>
    <t>pb510</t>
  </si>
  <si>
    <t>pb511</t>
  </si>
  <si>
    <t>pb601</t>
  </si>
  <si>
    <t>pb602</t>
  </si>
  <si>
    <t>pb603</t>
  </si>
  <si>
    <t>pb605</t>
  </si>
  <si>
    <t>pb606</t>
  </si>
  <si>
    <t>pb701</t>
  </si>
  <si>
    <t>pb702</t>
  </si>
  <si>
    <t>pb703</t>
  </si>
  <si>
    <t>pb801</t>
  </si>
  <si>
    <t>pb802</t>
  </si>
  <si>
    <t>pb901</t>
  </si>
  <si>
    <t>pb902</t>
  </si>
  <si>
    <t>pb903</t>
  </si>
  <si>
    <t>pb904</t>
  </si>
  <si>
    <t>pb905</t>
  </si>
  <si>
    <t>pb906</t>
  </si>
  <si>
    <t>pb1001</t>
  </si>
  <si>
    <t>pb1002</t>
  </si>
  <si>
    <t>pb1003</t>
  </si>
  <si>
    <t>pb1004</t>
  </si>
  <si>
    <t>pb1005</t>
  </si>
  <si>
    <t>pb1101</t>
  </si>
  <si>
    <t>pb1102</t>
  </si>
  <si>
    <t>pb1103</t>
  </si>
  <si>
    <t>pb1104</t>
  </si>
  <si>
    <t>pb1105</t>
  </si>
  <si>
    <t>pb1106</t>
  </si>
  <si>
    <t>pb1201</t>
  </si>
  <si>
    <t>pb1202</t>
  </si>
  <si>
    <t>pb1203</t>
  </si>
  <si>
    <t>pb1301</t>
  </si>
  <si>
    <t>pb1302</t>
  </si>
  <si>
    <t>pb1303</t>
  </si>
  <si>
    <t>pb1304</t>
  </si>
  <si>
    <t>y(2026-02-01)</t>
  </si>
  <si>
    <t>y(2026-08-01)</t>
  </si>
  <si>
    <t>y(2026-01-25)</t>
  </si>
  <si>
    <t>pb10</t>
  </si>
  <si>
    <t>pb9003</t>
  </si>
  <si>
    <t>summer</t>
  </si>
  <si>
    <t>winter</t>
  </si>
  <si>
    <t>bk_laag</t>
  </si>
  <si>
    <t>ok_laag</t>
  </si>
  <si>
    <t>Deklaag</t>
  </si>
  <si>
    <t>WVP1</t>
  </si>
  <si>
    <t>SDL2</t>
  </si>
  <si>
    <t>WVP2</t>
  </si>
  <si>
    <t>pakket</t>
  </si>
  <si>
    <t>D</t>
  </si>
  <si>
    <t>kh</t>
  </si>
  <si>
    <t>kv</t>
  </si>
  <si>
    <t>c</t>
  </si>
  <si>
    <t>formatie</t>
  </si>
  <si>
    <t>Echteld</t>
  </si>
  <si>
    <t>BX,KR,Urk,St,Dr</t>
  </si>
  <si>
    <t>Waalre</t>
  </si>
  <si>
    <t>Nieuwkoop</t>
  </si>
  <si>
    <t>Peize,Waalre</t>
  </si>
  <si>
    <t>lithologie</t>
  </si>
  <si>
    <t>zk</t>
  </si>
  <si>
    <t>veen</t>
  </si>
  <si>
    <t>fz-gz</t>
  </si>
  <si>
    <t>klei</t>
  </si>
  <si>
    <t>gz</t>
  </si>
  <si>
    <t>kD</t>
  </si>
  <si>
    <t>ymean</t>
  </si>
  <si>
    <t>ymax</t>
  </si>
  <si>
    <t>ymin</t>
  </si>
  <si>
    <t>id</t>
  </si>
  <si>
    <t>T_max</t>
  </si>
  <si>
    <t>T_min</t>
  </si>
  <si>
    <t>pb</t>
  </si>
  <si>
    <t>dagen</t>
  </si>
  <si>
    <t>date_T_max</t>
  </si>
  <si>
    <t>date_T_min</t>
  </si>
  <si>
    <t>dist ARK [m]</t>
  </si>
  <si>
    <t>zijde v ARK</t>
  </si>
  <si>
    <t>cARK</t>
  </si>
  <si>
    <t>Ra</t>
  </si>
  <si>
    <t>phi_top_BX</t>
  </si>
  <si>
    <t>q</t>
  </si>
  <si>
    <t>Rb</t>
  </si>
  <si>
    <t>phi_topBX</t>
  </si>
  <si>
    <t>d</t>
  </si>
  <si>
    <t>mm/d</t>
  </si>
  <si>
    <t>dim</t>
  </si>
  <si>
    <t>param</t>
  </si>
  <si>
    <t>case 0</t>
  </si>
  <si>
    <t>case 1</t>
  </si>
  <si>
    <t>case 2</t>
  </si>
  <si>
    <t>case 3</t>
  </si>
  <si>
    <t>case 4</t>
  </si>
  <si>
    <t>case 5</t>
  </si>
  <si>
    <t>h_pold</t>
  </si>
  <si>
    <t>m</t>
  </si>
  <si>
    <t>h_ARK</t>
  </si>
  <si>
    <t>phi_Bx-ddd</t>
  </si>
  <si>
    <t>case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</si>
</sst>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"/>
    <numFmt numFmtId="166" formatCode="0.000"/>
  </numFmts>
  <fonts count="8" x14ac:knownFonts="1">
    <font>
      <sz val="12"/>
      <color theme="1"/>
      <name val="Aptos Narrow"/>
      <family val="2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u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2" fillId="0" borderId="0" xfId="0" applyNumberFormat="1" applyFont="1"/>
    <xf numFmtId="1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6" fontId="0" fillId="0" borderId="0" xfId="0" applyNumberFormat="1" applyBorder="1"/>
    <xf numFmtId="166" fontId="0" fillId="0" borderId="5" xfId="0" applyNumberFormat="1" applyBorder="1"/>
    <xf numFmtId="0" fontId="5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26</xdr:row>
      <xdr:rowOff>152400</xdr:rowOff>
    </xdr:from>
    <xdr:to>
      <xdr:col>14</xdr:col>
      <xdr:colOff>533400</xdr:colOff>
      <xdr:row>45</xdr:row>
      <xdr:rowOff>32327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D17493-9407-58F9-2FDC-9420EE70E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0" y="5435600"/>
          <a:ext cx="7772400" cy="374072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eo Olsthoorn" id="{96A1243A-EDAC-3347-8C18-15E2B014F1F1}" userId="Theo Olsthoor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95439E0B-6EB4-BD47-AF36-A5E85E5E5076}">
    <text>naam peilbuis</text>
  </threadedComment>
  <threadedComment ref="E1" dT="2026-06-01T22:35:37.02" personId="{96A1243A-EDAC-3347-8C18-15E2B014F1F1}" id="{714614D2-AF81-2249-8198-9CF22CABD718}">
    <text>afstand (x,y) tot hartlijn ARK</text>
  </threadedComment>
  <threadedComment ref="F1" dT="2026-06-01T22:34:50.06" personId="{96A1243A-EDAC-3347-8C18-15E2B014F1F1}" id="{0BD9E3A9-7250-AB4A-9C55-7743346E81B6}">
    <text>projectie van (x,y) op hartlijn ARK</text>
  </threadedComment>
  <threadedComment ref="G1" dT="2026-06-01T22:35:04.48" personId="{96A1243A-EDAC-3347-8C18-15E2B014F1F1}" id="{E5F373E8-962D-444E-8793-DBE57649ECDA}">
    <text>projectie van (x,y) op hartlijn ARK</text>
  </threadedComment>
  <threadedComment ref="I1" dT="2026-06-02T11:32:50.06" personId="{96A1243A-EDAC-3347-8C18-15E2B014F1F1}" id="{B3578689-F356-AB47-B4E7-CA07787A30DE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8BA9ECB6-E5E2-9B49-A3CC-64E7561FDDE9}" parentId="{B3578689-F356-AB47-B4E7-CA07787A30DE}">
    <text>Vaak VP</text>
  </threadedComment>
  <threadedComment ref="J1" dT="2026-06-02T11:33:15.19" personId="{96A1243A-EDAC-3347-8C18-15E2B014F1F1}" id="{DE6B0860-7B1E-8C4C-BAEE-D7947BAE7D3A}">
    <text>Vastgestelde waterpeilen AGV</text>
  </threadedComment>
  <threadedComment ref="J1" dT="2026-06-02T11:33:36.77" personId="{96A1243A-EDAC-3347-8C18-15E2B014F1F1}" id="{DC9BC807-6B7B-1B40-A8B9-B44D48CC4388}" parentId="{DE6B0860-7B1E-8C4C-BAEE-D7947BAE7D3A}">
    <text>Vaak VP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FECA8C00-68C0-DD46-B80A-61FAB26CD2FF}">
    <text>naam peilbuis</text>
  </threadedComment>
  <threadedComment ref="E1" dT="2026-06-01T22:35:37.02" personId="{96A1243A-EDAC-3347-8C18-15E2B014F1F1}" id="{EA8B7049-F16D-1A4E-9B05-962D57FD7349}">
    <text>afstand (x,y) tot hartlijn ARK</text>
  </threadedComment>
  <threadedComment ref="F1" dT="2026-06-01T22:34:50.06" personId="{96A1243A-EDAC-3347-8C18-15E2B014F1F1}" id="{103F1F1E-1B0D-7A42-BA03-FE8C83672C88}">
    <text>projectie van (x,y) op hartlijn ARK</text>
  </threadedComment>
  <threadedComment ref="G1" dT="2026-06-01T22:35:04.48" personId="{96A1243A-EDAC-3347-8C18-15E2B014F1F1}" id="{B8FC59BC-7188-294B-A60F-B7A58596012C}">
    <text>projectie van (x,y) op hartlijn ARK</text>
  </threadedComment>
  <threadedComment ref="I1" dT="2026-06-02T11:32:50.06" personId="{96A1243A-EDAC-3347-8C18-15E2B014F1F1}" id="{E83EDFE8-9720-F742-949A-63A403E69D29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BAF279BA-1480-DF4C-8547-4216DD59E977}" parentId="{E83EDFE8-9720-F742-949A-63A403E69D29}">
    <text>Vaak VP</text>
  </threadedComment>
  <threadedComment ref="J1" dT="2026-06-02T11:33:15.19" personId="{96A1243A-EDAC-3347-8C18-15E2B014F1F1}" id="{459752B2-D12C-D347-9E36-E91C0A2DE90F}">
    <text>Vastgestelde waterpeilen AGV</text>
  </threadedComment>
  <threadedComment ref="J1" dT="2026-06-02T11:33:36.77" personId="{96A1243A-EDAC-3347-8C18-15E2B014F1F1}" id="{76F57896-7048-F444-B8DF-DDDD046FAC38}" parentId="{459752B2-D12C-D347-9E36-E91C0A2DE90F}">
    <text>Vaak VP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6-02T15:10:45.11" personId="{96A1243A-EDAC-3347-8C18-15E2B014F1F1}" id="{AC64C9D2-3F61-AF47-A662-FF8893F20A4A}">
    <text>pb_sondering_in_en_naast_ARK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EA54E30D-7CD8-1447-B295-5C3649868975}">
    <text>naam peilbuis</text>
  </threadedComment>
  <threadedComment ref="E1" dT="2026-06-01T22:35:37.02" personId="{96A1243A-EDAC-3347-8C18-15E2B014F1F1}" id="{C1FC057E-89F7-C04A-A3A6-3B290DC88D5B}">
    <text>afstand (x,y) tot hartlijn ARK</text>
  </threadedComment>
  <threadedComment ref="F1" dT="2026-06-01T22:34:50.06" personId="{96A1243A-EDAC-3347-8C18-15E2B014F1F1}" id="{8C7D1607-0B4B-1F48-80E0-4F19BE82BC63}">
    <text>projectie van (x,y) op hartlijn ARK</text>
  </threadedComment>
  <threadedComment ref="G1" dT="2026-06-01T22:35:04.48" personId="{96A1243A-EDAC-3347-8C18-15E2B014F1F1}" id="{7AB98D01-BB68-BC40-BC97-FB55FC2F97FA}">
    <text>projectie van (x,y) op hartlijn ARK</text>
  </threadedComment>
  <threadedComment ref="I1" dT="2026-06-02T11:32:50.06" personId="{96A1243A-EDAC-3347-8C18-15E2B014F1F1}" id="{EA0446A7-2830-EA43-B8CB-D4770C105AB7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C356F39D-DC47-9D4B-A444-184477E2D937}" parentId="{EA0446A7-2830-EA43-B8CB-D4770C105AB7}">
    <text>Vaak VP</text>
  </threadedComment>
  <threadedComment ref="J1" dT="2026-06-02T11:33:15.19" personId="{96A1243A-EDAC-3347-8C18-15E2B014F1F1}" id="{46E774F0-10B4-7D4D-928A-96D4926B283A}">
    <text>Vastgestelde waterpeilen AGV</text>
  </threadedComment>
  <threadedComment ref="J1" dT="2026-06-02T11:33:36.77" personId="{96A1243A-EDAC-3347-8C18-15E2B014F1F1}" id="{6EF23EF5-D3F6-F74A-BCEF-6D2B0CE58637}" parentId="{46E774F0-10B4-7D4D-928A-96D4926B283A}">
    <text>Vaak VP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2C9A1-0ECC-C140-AC02-EB1C99BC61A4}">
  <dimension ref="A1:P78"/>
  <sheetViews>
    <sheetView tabSelected="1" topLeftCell="A23" workbookViewId="0">
      <selection activeCell="J67" sqref="J67"/>
    </sheetView>
  </sheetViews>
  <sheetFormatPr baseColWidth="10" defaultRowHeight="16" x14ac:dyDescent="0.2"/>
  <cols>
    <col min="12" max="14" width="12.6640625" bestFit="1" customWidth="1"/>
  </cols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86</v>
      </c>
      <c r="M1" t="s">
        <v>85</v>
      </c>
      <c r="N1" t="s">
        <v>84</v>
      </c>
      <c r="O1" t="s">
        <v>89</v>
      </c>
      <c r="P1" t="s">
        <v>90</v>
      </c>
    </row>
    <row r="2" spans="1:16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>
        <v>1</v>
      </c>
      <c r="I2">
        <v>-2.2999999999999998</v>
      </c>
      <c r="J2">
        <v>-2</v>
      </c>
      <c r="K2" t="str">
        <f>IF(H2&gt;0,"W","E")</f>
        <v>W</v>
      </c>
      <c r="L2">
        <f t="shared" ref="L2:L33" si="0">VLOOKUP("Pb"&amp;$A2,yyy,5,FALSE)</f>
        <v>0</v>
      </c>
      <c r="M2">
        <f t="shared" ref="M2:M33" si="1">VLOOKUP("Pb"&amp;$A2,yyy,6,FALSE)</f>
        <v>-1.6919999999999999</v>
      </c>
      <c r="N2">
        <f t="shared" ref="N2:N33" si="2">VLOOKUP("Pb"&amp;$A2,yyy,7,FALSE)</f>
        <v>-1.78</v>
      </c>
      <c r="O2">
        <v>-1.6919999999999999</v>
      </c>
      <c r="P2">
        <v>-1.78</v>
      </c>
    </row>
    <row r="3" spans="1:16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>
        <v>-1</v>
      </c>
      <c r="I3">
        <v>-2.2999999999999998</v>
      </c>
      <c r="J3">
        <v>-2</v>
      </c>
      <c r="K3" t="str">
        <f t="shared" ref="K3:K68" si="3">IF(H3&gt;0,"W","E")</f>
        <v>E</v>
      </c>
      <c r="L3">
        <f t="shared" si="0"/>
        <v>0</v>
      </c>
      <c r="M3">
        <f t="shared" si="1"/>
        <v>-1.7390000000000001</v>
      </c>
      <c r="N3">
        <f t="shared" si="2"/>
        <v>-1.841</v>
      </c>
      <c r="O3">
        <v>-1.7390000000000001</v>
      </c>
      <c r="P3">
        <v>-1.841</v>
      </c>
    </row>
    <row r="4" spans="1:16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>
        <v>1</v>
      </c>
      <c r="I4">
        <v>-2.2999999999999998</v>
      </c>
      <c r="J4">
        <v>-2</v>
      </c>
      <c r="K4" t="str">
        <f t="shared" si="3"/>
        <v>W</v>
      </c>
      <c r="L4">
        <f t="shared" si="0"/>
        <v>0</v>
      </c>
      <c r="M4">
        <f t="shared" si="1"/>
        <v>-1.4810000000000001</v>
      </c>
      <c r="N4">
        <f t="shared" si="2"/>
        <v>-1.6839999999999999</v>
      </c>
      <c r="O4">
        <v>-1.4810000000000001</v>
      </c>
      <c r="P4">
        <v>-1.6839999999999999</v>
      </c>
    </row>
    <row r="5" spans="1:16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>
        <v>-1</v>
      </c>
      <c r="I5">
        <v>-2.2999999999999998</v>
      </c>
      <c r="J5">
        <v>-2</v>
      </c>
      <c r="K5" t="str">
        <f t="shared" si="3"/>
        <v>E</v>
      </c>
      <c r="L5">
        <f t="shared" si="0"/>
        <v>0</v>
      </c>
      <c r="M5">
        <f t="shared" si="1"/>
        <v>-1.49</v>
      </c>
      <c r="N5">
        <f t="shared" si="2"/>
        <v>-1.7</v>
      </c>
      <c r="O5">
        <v>-1.49</v>
      </c>
      <c r="P5">
        <v>-1.7</v>
      </c>
    </row>
    <row r="6" spans="1:16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>
        <v>1</v>
      </c>
      <c r="I6">
        <v>-2.2999999999999998</v>
      </c>
      <c r="J6">
        <v>-2.2999999999999998</v>
      </c>
      <c r="K6" t="str">
        <f t="shared" si="3"/>
        <v>W</v>
      </c>
      <c r="L6">
        <f t="shared" si="0"/>
        <v>0</v>
      </c>
      <c r="M6">
        <f t="shared" si="1"/>
        <v>0</v>
      </c>
      <c r="N6">
        <f t="shared" si="2"/>
        <v>-1.6539999999999999</v>
      </c>
      <c r="O6">
        <v>0</v>
      </c>
      <c r="P6">
        <v>-1.6539999999999999</v>
      </c>
    </row>
    <row r="7" spans="1:16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>
        <v>1</v>
      </c>
      <c r="I7">
        <v>-2.2999999999999998</v>
      </c>
      <c r="J7">
        <v>-2.2999999999999998</v>
      </c>
      <c r="K7" t="str">
        <f t="shared" si="3"/>
        <v>W</v>
      </c>
      <c r="L7">
        <f t="shared" si="0"/>
        <v>0</v>
      </c>
      <c r="M7">
        <f t="shared" si="1"/>
        <v>-1.2350000000000001</v>
      </c>
      <c r="N7">
        <f t="shared" si="2"/>
        <v>-1.556</v>
      </c>
      <c r="O7">
        <v>-1.2350000000000001</v>
      </c>
      <c r="P7">
        <v>-1.556</v>
      </c>
    </row>
    <row r="8" spans="1:16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>
        <v>-1</v>
      </c>
      <c r="I8">
        <v>-2.1</v>
      </c>
      <c r="J8">
        <v>-2.1</v>
      </c>
      <c r="K8" t="str">
        <f t="shared" si="3"/>
        <v>E</v>
      </c>
      <c r="L8">
        <f t="shared" si="0"/>
        <v>0</v>
      </c>
      <c r="M8">
        <f t="shared" si="1"/>
        <v>-1.1160000000000001</v>
      </c>
      <c r="N8">
        <f t="shared" si="2"/>
        <v>0</v>
      </c>
      <c r="O8">
        <v>-1.1160000000000001</v>
      </c>
      <c r="P8">
        <v>0</v>
      </c>
    </row>
    <row r="9" spans="1:16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>
        <v>-1</v>
      </c>
      <c r="I9">
        <v>-2.1</v>
      </c>
      <c r="J9">
        <v>-2.1</v>
      </c>
      <c r="K9" t="str">
        <f t="shared" si="3"/>
        <v>E</v>
      </c>
      <c r="L9">
        <f t="shared" si="0"/>
        <v>0</v>
      </c>
      <c r="M9">
        <f t="shared" si="1"/>
        <v>-1.262</v>
      </c>
      <c r="N9">
        <f t="shared" si="2"/>
        <v>0</v>
      </c>
      <c r="O9">
        <v>-1.262</v>
      </c>
      <c r="P9">
        <v>0</v>
      </c>
    </row>
    <row r="10" spans="1:16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>
        <v>1</v>
      </c>
      <c r="I10">
        <v>-2.6</v>
      </c>
      <c r="J10">
        <v>-2.6</v>
      </c>
      <c r="K10" t="str">
        <f t="shared" si="3"/>
        <v>W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>
        <v>1</v>
      </c>
      <c r="I11">
        <v>-2.2999999999999998</v>
      </c>
      <c r="J11">
        <v>-2.2999999999999998</v>
      </c>
      <c r="K11" t="str">
        <f t="shared" si="3"/>
        <v>W</v>
      </c>
      <c r="L11">
        <f t="shared" si="0"/>
        <v>0</v>
      </c>
      <c r="M11">
        <f t="shared" si="1"/>
        <v>0</v>
      </c>
      <c r="N11">
        <f t="shared" si="2"/>
        <v>0</v>
      </c>
      <c r="O11">
        <v>0</v>
      </c>
      <c r="P11">
        <v>0</v>
      </c>
    </row>
    <row r="12" spans="1:16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>
        <v>1</v>
      </c>
      <c r="I12">
        <v>-2.2999999999999998</v>
      </c>
      <c r="J12">
        <v>-2.2999999999999998</v>
      </c>
      <c r="K12" t="str">
        <f t="shared" si="3"/>
        <v>W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>
        <v>1</v>
      </c>
      <c r="I13">
        <v>-2.2999999999999998</v>
      </c>
      <c r="J13">
        <v>-2.2999999999999998</v>
      </c>
      <c r="K13" t="str">
        <f t="shared" si="3"/>
        <v>W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>
        <v>1</v>
      </c>
      <c r="I14">
        <v>-2.2999999999999998</v>
      </c>
      <c r="J14">
        <v>-2.2999999999999998</v>
      </c>
      <c r="K14" t="str">
        <f t="shared" si="3"/>
        <v>W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>
        <v>1</v>
      </c>
      <c r="I15">
        <v>-2.2999999999999998</v>
      </c>
      <c r="J15">
        <v>-2.2999999999999998</v>
      </c>
      <c r="K15" t="str">
        <f t="shared" si="3"/>
        <v>W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">
      <c r="A16">
        <v>406</v>
      </c>
      <c r="B16">
        <v>129699</v>
      </c>
      <c r="C16">
        <v>475345.8</v>
      </c>
      <c r="D16">
        <v>4</v>
      </c>
      <c r="E16">
        <v>53</v>
      </c>
      <c r="F16">
        <v>129750</v>
      </c>
      <c r="G16">
        <v>475338</v>
      </c>
      <c r="H16">
        <v>1</v>
      </c>
      <c r="I16">
        <v>-2.2999999999999998</v>
      </c>
      <c r="J16">
        <v>-2.2999999999999998</v>
      </c>
      <c r="K16" t="str">
        <f t="shared" si="3"/>
        <v>W</v>
      </c>
      <c r="L16">
        <f t="shared" si="0"/>
        <v>0</v>
      </c>
      <c r="M16">
        <f t="shared" si="1"/>
        <v>-0.998</v>
      </c>
      <c r="N16">
        <f t="shared" si="2"/>
        <v>-1.49</v>
      </c>
      <c r="O16">
        <v>-0.998</v>
      </c>
      <c r="P16">
        <v>-1.49</v>
      </c>
    </row>
    <row r="17" spans="1:16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>
        <v>-1</v>
      </c>
      <c r="I17">
        <v>-2.1</v>
      </c>
      <c r="J17">
        <v>-2.1</v>
      </c>
      <c r="K17" t="str">
        <f t="shared" si="3"/>
        <v>E</v>
      </c>
      <c r="L17">
        <f t="shared" si="0"/>
        <v>-1.571</v>
      </c>
      <c r="M17">
        <f t="shared" si="1"/>
        <v>-1.1040000000000001</v>
      </c>
      <c r="N17">
        <f t="shared" si="2"/>
        <v>-1.542</v>
      </c>
      <c r="O17">
        <v>-1.1040000000000001</v>
      </c>
      <c r="P17">
        <v>-1.542</v>
      </c>
    </row>
    <row r="18" spans="1:16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>
        <v>-1</v>
      </c>
      <c r="I18">
        <v>-2.1</v>
      </c>
      <c r="J18">
        <v>-2.1</v>
      </c>
      <c r="K18" t="str">
        <f t="shared" si="3"/>
        <v>E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>
        <v>-1</v>
      </c>
      <c r="I19">
        <v>-2.1</v>
      </c>
      <c r="J19">
        <v>-2.1</v>
      </c>
      <c r="K19" t="str">
        <f t="shared" si="3"/>
        <v>E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>
        <v>-1</v>
      </c>
      <c r="I20">
        <v>-2.1</v>
      </c>
      <c r="J20">
        <v>-2.1</v>
      </c>
      <c r="K20" t="str">
        <f t="shared" si="3"/>
        <v>E</v>
      </c>
      <c r="L20">
        <f t="shared" si="0"/>
        <v>-1.6220000000000001</v>
      </c>
      <c r="M20">
        <f t="shared" si="1"/>
        <v>-1.399</v>
      </c>
      <c r="N20">
        <f t="shared" si="2"/>
        <v>-1.6220000000000001</v>
      </c>
      <c r="O20">
        <v>-1.399</v>
      </c>
      <c r="P20">
        <v>-1.6220000000000001</v>
      </c>
    </row>
    <row r="21" spans="1:16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>
        <v>-1</v>
      </c>
      <c r="I21">
        <v>-2.1</v>
      </c>
      <c r="J21">
        <v>-2.1</v>
      </c>
      <c r="K21" t="str">
        <f t="shared" ref="K21" si="4">IF(H21&gt;0,"W","E")</f>
        <v>E</v>
      </c>
      <c r="L21">
        <f t="shared" si="0"/>
        <v>-1.66</v>
      </c>
      <c r="M21">
        <f t="shared" si="1"/>
        <v>-1.4470000000000001</v>
      </c>
      <c r="N21">
        <f t="shared" si="2"/>
        <v>-1.66</v>
      </c>
      <c r="O21">
        <v>-1.4470000000000001</v>
      </c>
      <c r="P21">
        <v>-1.66</v>
      </c>
    </row>
    <row r="22" spans="1:16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>
        <v>-1</v>
      </c>
      <c r="I22">
        <v>-2.1</v>
      </c>
      <c r="J22">
        <v>-2.1</v>
      </c>
      <c r="K22" t="str">
        <f t="shared" si="3"/>
        <v>E</v>
      </c>
      <c r="L22">
        <f t="shared" si="0"/>
        <v>-1.669</v>
      </c>
      <c r="M22">
        <f t="shared" si="1"/>
        <v>-1.472</v>
      </c>
      <c r="N22">
        <f t="shared" si="2"/>
        <v>-1.669</v>
      </c>
      <c r="O22">
        <v>-1.472</v>
      </c>
      <c r="P22">
        <v>-1.669</v>
      </c>
    </row>
    <row r="23" spans="1:16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>
        <v>1</v>
      </c>
      <c r="I23">
        <v>-2.2999999999999998</v>
      </c>
      <c r="J23">
        <v>-2.2999999999999998</v>
      </c>
      <c r="K23" t="str">
        <f t="shared" si="3"/>
        <v>W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>
        <v>1</v>
      </c>
      <c r="I24">
        <v>-2.2999999999999998</v>
      </c>
      <c r="J24">
        <v>-2.2999999999999998</v>
      </c>
      <c r="K24" t="str">
        <f t="shared" si="3"/>
        <v>W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>
        <v>1</v>
      </c>
      <c r="I25">
        <v>-2.2999999999999998</v>
      </c>
      <c r="J25">
        <v>-2.2999999999999998</v>
      </c>
      <c r="K25" t="str">
        <f t="shared" si="3"/>
        <v>W</v>
      </c>
      <c r="L25">
        <f t="shared" si="0"/>
        <v>-1.738</v>
      </c>
      <c r="M25">
        <f t="shared" si="1"/>
        <v>-1.542</v>
      </c>
      <c r="N25">
        <f t="shared" si="2"/>
        <v>-1.734</v>
      </c>
      <c r="O25">
        <v>-1.542</v>
      </c>
      <c r="P25">
        <v>-1.734</v>
      </c>
    </row>
    <row r="26" spans="1:16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>
        <v>1</v>
      </c>
      <c r="I26">
        <v>-2.2999999999999998</v>
      </c>
      <c r="J26">
        <v>-2.2999999999999998</v>
      </c>
      <c r="K26" t="str">
        <f t="shared" si="3"/>
        <v>W</v>
      </c>
      <c r="L26">
        <f t="shared" si="0"/>
        <v>0</v>
      </c>
      <c r="M26">
        <f t="shared" si="1"/>
        <v>0</v>
      </c>
      <c r="N26">
        <f t="shared" si="2"/>
        <v>-1.5529999999999999</v>
      </c>
      <c r="O26">
        <v>0</v>
      </c>
      <c r="P26">
        <v>-1.5529999999999999</v>
      </c>
    </row>
    <row r="27" spans="1:16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>
        <v>1</v>
      </c>
      <c r="I27">
        <v>-2.2999999999999998</v>
      </c>
      <c r="J27">
        <v>-2.2999999999999998</v>
      </c>
      <c r="K27" t="str">
        <f t="shared" si="3"/>
        <v>W</v>
      </c>
      <c r="L27">
        <f t="shared" si="0"/>
        <v>-1.6359999999999999</v>
      </c>
      <c r="M27">
        <f t="shared" si="1"/>
        <v>-1.2849999999999999</v>
      </c>
      <c r="N27">
        <f t="shared" si="2"/>
        <v>-1.6220000000000001</v>
      </c>
      <c r="O27">
        <v>-1.2849999999999999</v>
      </c>
      <c r="P27">
        <v>-1.6220000000000001</v>
      </c>
    </row>
    <row r="28" spans="1:16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>
        <v>1</v>
      </c>
      <c r="I28">
        <v>-2.2999999999999998</v>
      </c>
      <c r="J28">
        <v>-2.2999999999999998</v>
      </c>
      <c r="K28" t="str">
        <f t="shared" si="3"/>
        <v>W</v>
      </c>
      <c r="L28">
        <f t="shared" si="0"/>
        <v>-1.5740000000000001</v>
      </c>
      <c r="M28">
        <f t="shared" si="1"/>
        <v>-1.0680000000000001</v>
      </c>
      <c r="N28">
        <f t="shared" si="2"/>
        <v>0</v>
      </c>
      <c r="O28">
        <v>-1.0680000000000001</v>
      </c>
      <c r="P28">
        <v>0</v>
      </c>
    </row>
    <row r="29" spans="1:16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>
        <v>-1</v>
      </c>
      <c r="I29">
        <v>-2.2000000000000002</v>
      </c>
      <c r="J29">
        <v>-2.2000000000000002</v>
      </c>
      <c r="K29" t="str">
        <f t="shared" si="3"/>
        <v>E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>
        <v>-1</v>
      </c>
      <c r="I30">
        <v>-2.2000000000000002</v>
      </c>
      <c r="J30">
        <v>-2.2000000000000002</v>
      </c>
      <c r="K30" t="str">
        <f t="shared" si="3"/>
        <v>E</v>
      </c>
      <c r="L30">
        <f t="shared" si="0"/>
        <v>-1.819</v>
      </c>
      <c r="M30">
        <f t="shared" si="1"/>
        <v>-1.538</v>
      </c>
      <c r="N30">
        <f t="shared" si="2"/>
        <v>-1.821</v>
      </c>
      <c r="O30">
        <v>-1.538</v>
      </c>
      <c r="P30">
        <v>-1.821</v>
      </c>
    </row>
    <row r="31" spans="1:16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>
        <v>-1</v>
      </c>
      <c r="I31">
        <v>-2.2000000000000002</v>
      </c>
      <c r="J31">
        <v>-2.2000000000000002</v>
      </c>
      <c r="K31" t="str">
        <f t="shared" si="3"/>
        <v>E</v>
      </c>
      <c r="L31">
        <f t="shared" si="0"/>
        <v>0</v>
      </c>
      <c r="M31">
        <f t="shared" si="1"/>
        <v>0</v>
      </c>
      <c r="N31">
        <f t="shared" si="2"/>
        <v>-1.8080000000000001</v>
      </c>
      <c r="O31">
        <v>0</v>
      </c>
      <c r="P31">
        <v>-1.8080000000000001</v>
      </c>
    </row>
    <row r="32" spans="1:16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>
        <v>-1</v>
      </c>
      <c r="I32">
        <v>-2.2000000000000002</v>
      </c>
      <c r="J32">
        <v>-2.2000000000000002</v>
      </c>
      <c r="K32" t="str">
        <f t="shared" si="3"/>
        <v>E</v>
      </c>
      <c r="L32">
        <f t="shared" si="0"/>
        <v>-1.708</v>
      </c>
      <c r="M32">
        <f t="shared" si="1"/>
        <v>-1.5189999999999999</v>
      </c>
      <c r="N32">
        <f t="shared" si="2"/>
        <v>-1.7</v>
      </c>
      <c r="O32">
        <v>-1.5189999999999999</v>
      </c>
      <c r="P32">
        <v>-1.7</v>
      </c>
    </row>
    <row r="33" spans="1:16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>
        <v>-1</v>
      </c>
      <c r="I33">
        <v>-2.2000000000000002</v>
      </c>
      <c r="J33">
        <v>-2.2000000000000002</v>
      </c>
      <c r="K33" t="str">
        <f t="shared" ref="K33" si="5">IF(H33&gt;0,"W","E")</f>
        <v>E</v>
      </c>
      <c r="L33">
        <f t="shared" si="0"/>
        <v>-1.698</v>
      </c>
      <c r="M33">
        <f t="shared" si="1"/>
        <v>-1.506</v>
      </c>
      <c r="N33">
        <f t="shared" si="2"/>
        <v>-1.698</v>
      </c>
      <c r="O33">
        <v>-1.506</v>
      </c>
      <c r="P33">
        <v>-1.698</v>
      </c>
    </row>
    <row r="34" spans="1:16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>
        <v>-1</v>
      </c>
      <c r="I34">
        <v>-2.2000000000000002</v>
      </c>
      <c r="J34">
        <v>-2.2000000000000002</v>
      </c>
      <c r="K34" t="str">
        <f t="shared" si="3"/>
        <v>E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>
        <v>1</v>
      </c>
      <c r="I35">
        <v>-2.6</v>
      </c>
      <c r="J35">
        <v>-2.6</v>
      </c>
      <c r="K35" t="str">
        <f t="shared" si="3"/>
        <v>W</v>
      </c>
      <c r="L35">
        <f t="shared" ref="L35:L65" si="6">VLOOKUP("Pb"&amp;$A35,yyy,5,FALSE)</f>
        <v>0</v>
      </c>
      <c r="M35">
        <f t="shared" ref="M35:M65" si="7">VLOOKUP("Pb"&amp;$A35,yyy,6,FALSE)</f>
        <v>-1.5580000000000001</v>
      </c>
      <c r="N35">
        <f t="shared" ref="N35:N65" si="8">VLOOKUP("Pb"&amp;$A35,yyy,7,FALSE)</f>
        <v>-1.698</v>
      </c>
      <c r="O35">
        <v>-1.5580000000000001</v>
      </c>
      <c r="P35">
        <v>-1.698</v>
      </c>
    </row>
    <row r="36" spans="1:16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>
        <v>1</v>
      </c>
      <c r="I36">
        <v>-2.6</v>
      </c>
      <c r="J36">
        <v>-2.6</v>
      </c>
      <c r="K36" t="str">
        <f t="shared" si="3"/>
        <v>W</v>
      </c>
      <c r="L36">
        <f t="shared" si="6"/>
        <v>0</v>
      </c>
      <c r="M36">
        <f t="shared" si="7"/>
        <v>-1.415</v>
      </c>
      <c r="N36">
        <f t="shared" si="8"/>
        <v>-1.6359999999999999</v>
      </c>
      <c r="O36">
        <v>-1.415</v>
      </c>
      <c r="P36">
        <v>-1.6359999999999999</v>
      </c>
    </row>
    <row r="37" spans="1:16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>
        <v>1</v>
      </c>
      <c r="I37">
        <v>-2.6</v>
      </c>
      <c r="J37">
        <v>-2.6</v>
      </c>
      <c r="K37" t="str">
        <f t="shared" si="3"/>
        <v>W</v>
      </c>
      <c r="L37">
        <f t="shared" si="6"/>
        <v>0</v>
      </c>
      <c r="M37">
        <f t="shared" si="7"/>
        <v>-1.196</v>
      </c>
      <c r="N37">
        <f t="shared" si="8"/>
        <v>-1.4850000000000001</v>
      </c>
      <c r="O37">
        <v>-1.196</v>
      </c>
      <c r="P37">
        <v>-1.4850000000000001</v>
      </c>
    </row>
    <row r="38" spans="1:16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>
        <v>-1</v>
      </c>
      <c r="I38">
        <v>-2.25</v>
      </c>
      <c r="J38">
        <v>-2.25</v>
      </c>
      <c r="K38" t="str">
        <f t="shared" si="3"/>
        <v>E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>
        <v>-1</v>
      </c>
      <c r="I39">
        <v>-2.25</v>
      </c>
      <c r="J39">
        <v>-2.25</v>
      </c>
      <c r="K39" t="str">
        <f t="shared" si="3"/>
        <v>E</v>
      </c>
      <c r="L39">
        <f t="shared" si="6"/>
        <v>0</v>
      </c>
      <c r="M39">
        <f t="shared" si="7"/>
        <v>-1.3740000000000001</v>
      </c>
      <c r="N39">
        <f t="shared" si="8"/>
        <v>-1.6</v>
      </c>
      <c r="O39">
        <v>-1.3740000000000001</v>
      </c>
      <c r="P39">
        <v>-1.6</v>
      </c>
    </row>
    <row r="40" spans="1:16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>
        <v>-1</v>
      </c>
      <c r="I40">
        <v>-2.25</v>
      </c>
      <c r="J40">
        <v>-2.25</v>
      </c>
      <c r="K40" t="str">
        <f t="shared" si="3"/>
        <v>E</v>
      </c>
      <c r="L40">
        <f t="shared" si="6"/>
        <v>0</v>
      </c>
      <c r="M40">
        <f t="shared" si="7"/>
        <v>0</v>
      </c>
      <c r="N40">
        <f t="shared" si="8"/>
        <v>-1.6060000000000001</v>
      </c>
      <c r="O40">
        <v>0</v>
      </c>
      <c r="P40">
        <v>-1.6060000000000001</v>
      </c>
    </row>
    <row r="41" spans="1:16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>
        <v>1</v>
      </c>
      <c r="I41">
        <v>-2.6</v>
      </c>
      <c r="J41">
        <v>-2.6</v>
      </c>
      <c r="K41" t="str">
        <f t="shared" si="3"/>
        <v>W</v>
      </c>
      <c r="L41">
        <f t="shared" si="6"/>
        <v>0</v>
      </c>
      <c r="M41">
        <f t="shared" si="7"/>
        <v>-1.6120000000000001</v>
      </c>
      <c r="N41">
        <f t="shared" si="8"/>
        <v>-1.7130000000000001</v>
      </c>
      <c r="O41">
        <v>-1.6120000000000001</v>
      </c>
      <c r="P41">
        <v>-1.7130000000000001</v>
      </c>
    </row>
    <row r="42" spans="1:16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>
        <v>1</v>
      </c>
      <c r="I42">
        <v>-2.6</v>
      </c>
      <c r="J42">
        <v>-2.6</v>
      </c>
      <c r="K42" t="str">
        <f t="shared" si="3"/>
        <v>W</v>
      </c>
      <c r="L42">
        <f t="shared" si="6"/>
        <v>0</v>
      </c>
      <c r="M42">
        <f t="shared" si="7"/>
        <v>-1.036</v>
      </c>
      <c r="N42">
        <f t="shared" si="8"/>
        <v>-1.4239999999999999</v>
      </c>
      <c r="O42">
        <v>-1.036</v>
      </c>
      <c r="P42">
        <v>-1.4239999999999999</v>
      </c>
    </row>
    <row r="43" spans="1:16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>
        <v>-1</v>
      </c>
      <c r="I43">
        <v>-2.25</v>
      </c>
      <c r="J43">
        <v>-2.25</v>
      </c>
      <c r="K43" t="str">
        <f t="shared" si="3"/>
        <v>E</v>
      </c>
      <c r="L43">
        <f t="shared" si="6"/>
        <v>0</v>
      </c>
      <c r="M43">
        <f t="shared" si="7"/>
        <v>0</v>
      </c>
      <c r="N43">
        <f t="shared" si="8"/>
        <v>-1.3939999999999999</v>
      </c>
      <c r="O43">
        <v>0</v>
      </c>
      <c r="P43">
        <v>-1.3939999999999999</v>
      </c>
    </row>
    <row r="44" spans="1:16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>
        <v>-1</v>
      </c>
      <c r="I44">
        <v>-2.25</v>
      </c>
      <c r="J44">
        <v>-2.25</v>
      </c>
      <c r="K44" t="str">
        <f t="shared" si="3"/>
        <v>E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>
        <v>1</v>
      </c>
      <c r="I45">
        <v>-2.33</v>
      </c>
      <c r="J45">
        <v>-2.33</v>
      </c>
      <c r="K45" t="str">
        <f t="shared" si="3"/>
        <v>W</v>
      </c>
      <c r="L45">
        <f t="shared" si="6"/>
        <v>0</v>
      </c>
      <c r="M45">
        <f t="shared" si="7"/>
        <v>-2.472</v>
      </c>
      <c r="N45">
        <f t="shared" si="8"/>
        <v>-2.6360000000000001</v>
      </c>
      <c r="O45">
        <v>-2.472</v>
      </c>
      <c r="P45">
        <v>-2.6360000000000001</v>
      </c>
    </row>
    <row r="46" spans="1:16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>
        <v>1</v>
      </c>
      <c r="I46">
        <v>-2.33</v>
      </c>
      <c r="J46">
        <v>-2.33</v>
      </c>
      <c r="K46" t="str">
        <f t="shared" si="3"/>
        <v>W</v>
      </c>
      <c r="L46">
        <f t="shared" si="6"/>
        <v>0</v>
      </c>
      <c r="M46">
        <f t="shared" si="7"/>
        <v>-1.341</v>
      </c>
      <c r="N46">
        <f t="shared" si="8"/>
        <v>-1.524</v>
      </c>
      <c r="O46">
        <v>-1.341</v>
      </c>
      <c r="P46">
        <v>-1.524</v>
      </c>
    </row>
    <row r="47" spans="1:16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>
        <v>-1</v>
      </c>
      <c r="I47">
        <v>-2.33</v>
      </c>
      <c r="J47" s="29">
        <v>-2.33</v>
      </c>
      <c r="K47" t="str">
        <f t="shared" si="3"/>
        <v>E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>
        <v>-1</v>
      </c>
      <c r="I48">
        <v>-2.4</v>
      </c>
      <c r="J48">
        <v>-2.4</v>
      </c>
      <c r="K48" t="str">
        <f t="shared" si="3"/>
        <v>E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>
        <v>-1</v>
      </c>
      <c r="I49">
        <v>-2.4</v>
      </c>
      <c r="J49">
        <v>-2.4</v>
      </c>
      <c r="K49" t="str">
        <f t="shared" si="3"/>
        <v>E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>
        <v>1</v>
      </c>
      <c r="I50">
        <v>-2.25</v>
      </c>
      <c r="J50">
        <v>-2.25</v>
      </c>
      <c r="K50" t="str">
        <f t="shared" si="3"/>
        <v>W</v>
      </c>
      <c r="L50">
        <f t="shared" si="6"/>
        <v>0</v>
      </c>
      <c r="M50">
        <f t="shared" si="7"/>
        <v>0</v>
      </c>
      <c r="N50">
        <f t="shared" si="8"/>
        <v>-1.5209999999999999</v>
      </c>
      <c r="O50">
        <v>0</v>
      </c>
      <c r="P50">
        <v>-1.5209999999999999</v>
      </c>
    </row>
    <row r="51" spans="1:16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>
        <v>1</v>
      </c>
      <c r="I51">
        <v>-2.25</v>
      </c>
      <c r="J51">
        <v>-2.25</v>
      </c>
      <c r="K51" t="str">
        <f t="shared" si="3"/>
        <v>W</v>
      </c>
      <c r="L51">
        <f t="shared" si="6"/>
        <v>0</v>
      </c>
      <c r="M51">
        <f t="shared" si="7"/>
        <v>-1.395</v>
      </c>
      <c r="N51">
        <f t="shared" si="8"/>
        <v>-1.5509999999999999</v>
      </c>
      <c r="O51">
        <v>-1.395</v>
      </c>
      <c r="P51">
        <v>-1.5509999999999999</v>
      </c>
    </row>
    <row r="52" spans="1:16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>
        <v>1</v>
      </c>
      <c r="I52">
        <v>-2.25</v>
      </c>
      <c r="J52">
        <v>-2.25</v>
      </c>
      <c r="K52" t="str">
        <f t="shared" si="3"/>
        <v>W</v>
      </c>
      <c r="L52">
        <f t="shared" si="6"/>
        <v>0</v>
      </c>
      <c r="M52">
        <f t="shared" si="7"/>
        <v>-1.325</v>
      </c>
      <c r="N52">
        <f t="shared" si="8"/>
        <v>-1.5309999999999999</v>
      </c>
      <c r="O52">
        <v>-1.325</v>
      </c>
      <c r="P52">
        <v>-1.5309999999999999</v>
      </c>
    </row>
    <row r="53" spans="1:16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>
        <v>-1</v>
      </c>
      <c r="I53">
        <v>-2.25</v>
      </c>
      <c r="J53">
        <v>-2.25</v>
      </c>
      <c r="K53" t="str">
        <f t="shared" si="3"/>
        <v>E</v>
      </c>
      <c r="L53">
        <f t="shared" si="6"/>
        <v>0</v>
      </c>
      <c r="M53">
        <f t="shared" si="7"/>
        <v>-1.331</v>
      </c>
      <c r="N53">
        <f t="shared" si="8"/>
        <v>-1.5129999999999999</v>
      </c>
      <c r="O53">
        <v>-1.331</v>
      </c>
      <c r="P53">
        <v>-1.5129999999999999</v>
      </c>
    </row>
    <row r="54" spans="1:16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>
        <v>-1</v>
      </c>
      <c r="I54">
        <v>-2.25</v>
      </c>
      <c r="J54">
        <v>-2.25</v>
      </c>
      <c r="K54" t="str">
        <f t="shared" si="3"/>
        <v>E</v>
      </c>
      <c r="L54">
        <f t="shared" si="6"/>
        <v>0</v>
      </c>
      <c r="M54">
        <f t="shared" si="7"/>
        <v>-1.321</v>
      </c>
      <c r="N54">
        <f t="shared" si="8"/>
        <v>-1.474</v>
      </c>
      <c r="O54">
        <v>-1.321</v>
      </c>
      <c r="P54">
        <v>-1.474</v>
      </c>
    </row>
    <row r="55" spans="1:16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>
        <v>-1</v>
      </c>
      <c r="I55">
        <v>-2.25</v>
      </c>
      <c r="J55">
        <v>-2.25</v>
      </c>
      <c r="K55" t="str">
        <f t="shared" si="3"/>
        <v>E</v>
      </c>
      <c r="L55">
        <f t="shared" si="6"/>
        <v>0</v>
      </c>
      <c r="M55">
        <f t="shared" si="7"/>
        <v>-1.3140000000000001</v>
      </c>
      <c r="N55">
        <f t="shared" si="8"/>
        <v>-1.446</v>
      </c>
      <c r="O55">
        <v>-1.3140000000000001</v>
      </c>
      <c r="P55">
        <v>-1.446</v>
      </c>
    </row>
    <row r="56" spans="1:16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>
        <v>1</v>
      </c>
      <c r="I56">
        <v>-2.5</v>
      </c>
      <c r="J56">
        <v>-2.5</v>
      </c>
      <c r="K56" t="str">
        <f t="shared" si="3"/>
        <v>W</v>
      </c>
      <c r="L56">
        <f t="shared" si="6"/>
        <v>0</v>
      </c>
      <c r="M56">
        <f t="shared" si="7"/>
        <v>-1.5640000000000001</v>
      </c>
      <c r="N56">
        <f t="shared" si="8"/>
        <v>-1.6919999999999999</v>
      </c>
      <c r="O56">
        <v>-1.5640000000000001</v>
      </c>
      <c r="P56">
        <v>-1.6919999999999999</v>
      </c>
    </row>
    <row r="57" spans="1:16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>
        <v>1</v>
      </c>
      <c r="I57">
        <v>-2.2000000000000002</v>
      </c>
      <c r="J57">
        <v>-2.2999999999999998</v>
      </c>
      <c r="K57" t="str">
        <f t="shared" si="3"/>
        <v>W</v>
      </c>
      <c r="L57">
        <f t="shared" si="6"/>
        <v>0</v>
      </c>
      <c r="M57">
        <f t="shared" si="7"/>
        <v>-1.3580000000000001</v>
      </c>
      <c r="N57">
        <f t="shared" si="8"/>
        <v>-1.5149999999999999</v>
      </c>
      <c r="O57">
        <v>-1.3580000000000001</v>
      </c>
      <c r="P57">
        <v>-1.5149999999999999</v>
      </c>
    </row>
    <row r="58" spans="1:16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>
        <v>1</v>
      </c>
      <c r="I58">
        <v>-2.2000000000000002</v>
      </c>
      <c r="J58">
        <v>-2.2999999999999998</v>
      </c>
      <c r="K58" t="str">
        <f t="shared" si="3"/>
        <v>W</v>
      </c>
      <c r="L58">
        <f t="shared" si="6"/>
        <v>0</v>
      </c>
      <c r="M58">
        <f t="shared" si="7"/>
        <v>-1.1930000000000001</v>
      </c>
      <c r="N58">
        <f t="shared" si="8"/>
        <v>-1.423</v>
      </c>
      <c r="O58">
        <v>-1.1930000000000001</v>
      </c>
      <c r="P58">
        <v>-1.423</v>
      </c>
    </row>
    <row r="59" spans="1:16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>
        <v>-1</v>
      </c>
      <c r="I59">
        <v>-1.8</v>
      </c>
      <c r="J59">
        <v>-2</v>
      </c>
      <c r="K59" t="str">
        <f t="shared" si="3"/>
        <v>E</v>
      </c>
      <c r="L59">
        <f t="shared" si="6"/>
        <v>0</v>
      </c>
      <c r="M59">
        <f t="shared" si="7"/>
        <v>-0.89500000000000002</v>
      </c>
      <c r="N59">
        <f t="shared" si="8"/>
        <v>-1.17</v>
      </c>
      <c r="O59">
        <v>-0.89500000000000002</v>
      </c>
      <c r="P59">
        <v>-1.17</v>
      </c>
    </row>
    <row r="60" spans="1:16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>
        <v>-1</v>
      </c>
      <c r="I60">
        <v>-1.8</v>
      </c>
      <c r="J60">
        <v>-2</v>
      </c>
      <c r="K60" t="str">
        <f t="shared" si="3"/>
        <v>E</v>
      </c>
      <c r="L60">
        <f t="shared" si="6"/>
        <v>0</v>
      </c>
      <c r="M60">
        <f t="shared" si="7"/>
        <v>-1.1759999999999999</v>
      </c>
      <c r="N60">
        <f t="shared" si="8"/>
        <v>-1.3220000000000001</v>
      </c>
      <c r="O60">
        <v>-1.1759999999999999</v>
      </c>
      <c r="P60">
        <v>-1.3220000000000001</v>
      </c>
    </row>
    <row r="61" spans="1:16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>
        <v>-1</v>
      </c>
      <c r="I61">
        <v>-1.8</v>
      </c>
      <c r="J61">
        <v>-2</v>
      </c>
      <c r="K61" t="str">
        <f t="shared" si="3"/>
        <v>E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>
        <v>-1</v>
      </c>
      <c r="I62">
        <v>-1.55</v>
      </c>
      <c r="J62">
        <v>-1.75</v>
      </c>
      <c r="K62" t="str">
        <f t="shared" si="3"/>
        <v>E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>
        <v>1</v>
      </c>
      <c r="I63">
        <v>-2.25</v>
      </c>
      <c r="J63">
        <v>-2.25</v>
      </c>
      <c r="K63" t="str">
        <f t="shared" si="3"/>
        <v>W</v>
      </c>
      <c r="L63">
        <f t="shared" si="6"/>
        <v>0</v>
      </c>
      <c r="M63">
        <f t="shared" si="7"/>
        <v>0</v>
      </c>
      <c r="N63">
        <f t="shared" si="8"/>
        <v>-1.86</v>
      </c>
      <c r="O63">
        <v>0</v>
      </c>
      <c r="P63">
        <v>-1.86</v>
      </c>
    </row>
    <row r="64" spans="1:16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>
        <v>1</v>
      </c>
      <c r="I64">
        <v>-2.2000000000000002</v>
      </c>
      <c r="J64">
        <v>-2.2999999999999998</v>
      </c>
      <c r="K64" t="str">
        <f t="shared" si="3"/>
        <v>W</v>
      </c>
      <c r="L64">
        <f t="shared" si="6"/>
        <v>-1.901</v>
      </c>
      <c r="M64">
        <f t="shared" si="7"/>
        <v>-1.911</v>
      </c>
      <c r="N64">
        <f t="shared" si="8"/>
        <v>-1.92</v>
      </c>
      <c r="O64">
        <v>-1.911</v>
      </c>
      <c r="P64">
        <v>-1.92</v>
      </c>
    </row>
    <row r="65" spans="1:16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>
        <v>1</v>
      </c>
      <c r="I65">
        <v>-2.2000000000000002</v>
      </c>
      <c r="J65">
        <v>-2.2999999999999998</v>
      </c>
      <c r="K65" t="str">
        <f t="shared" si="3"/>
        <v>W</v>
      </c>
      <c r="L65">
        <f t="shared" si="6"/>
        <v>-1.8819999999999999</v>
      </c>
      <c r="M65">
        <f t="shared" si="7"/>
        <v>-1.8859999999999999</v>
      </c>
      <c r="N65">
        <f t="shared" si="8"/>
        <v>-1.903</v>
      </c>
      <c r="O65">
        <v>-1.8859999999999999</v>
      </c>
      <c r="P65">
        <v>-1.903</v>
      </c>
    </row>
    <row r="66" spans="1:16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>
        <v>1</v>
      </c>
      <c r="I66">
        <v>-2.2000000000000002</v>
      </c>
      <c r="J66">
        <v>-2.2999999999999998</v>
      </c>
      <c r="K66" t="str">
        <f t="shared" si="3"/>
        <v>W</v>
      </c>
      <c r="L66">
        <f t="shared" ref="L66:L78" si="9">VLOOKUP("Pb"&amp;$A66,yyy,5,FALSE)</f>
        <v>-1.7509999999999999</v>
      </c>
      <c r="M66">
        <f t="shared" ref="M66:M78" si="10">VLOOKUP("Pb"&amp;$A66,yyy,6,FALSE)</f>
        <v>-1.714</v>
      </c>
      <c r="N66">
        <f t="shared" ref="N66:N78" si="11">VLOOKUP("Pb"&amp;$A66,yyy,7,FALSE)</f>
        <v>-1.7649999999999999</v>
      </c>
      <c r="O66">
        <v>-1.714</v>
      </c>
      <c r="P66">
        <v>-1.7649999999999999</v>
      </c>
    </row>
    <row r="67" spans="1:16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>
        <v>1</v>
      </c>
      <c r="I67">
        <v>-2.2000000000000002</v>
      </c>
      <c r="J67">
        <v>-2.2999999999999998</v>
      </c>
      <c r="K67" t="str">
        <f t="shared" si="3"/>
        <v>W</v>
      </c>
      <c r="L67">
        <f t="shared" si="9"/>
        <v>-1.5820000000000001</v>
      </c>
      <c r="M67">
        <f t="shared" si="10"/>
        <v>-1.47</v>
      </c>
      <c r="N67">
        <f t="shared" si="11"/>
        <v>-1.597</v>
      </c>
      <c r="O67">
        <v>-1.47</v>
      </c>
      <c r="P67">
        <v>-1.597</v>
      </c>
    </row>
    <row r="68" spans="1:16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>
        <v>-1</v>
      </c>
      <c r="I68">
        <v>-1.8</v>
      </c>
      <c r="J68">
        <v>-2</v>
      </c>
      <c r="K68" t="str">
        <f t="shared" si="3"/>
        <v>E</v>
      </c>
      <c r="L68">
        <f t="shared" si="9"/>
        <v>0</v>
      </c>
      <c r="M68">
        <f t="shared" si="10"/>
        <v>-1.1559999999999999</v>
      </c>
      <c r="N68">
        <f t="shared" si="11"/>
        <v>-1.3460000000000001</v>
      </c>
      <c r="O68">
        <v>-1.1559999999999999</v>
      </c>
      <c r="P68">
        <v>-1.3460000000000001</v>
      </c>
    </row>
    <row r="69" spans="1:16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>
        <v>-1</v>
      </c>
      <c r="I69">
        <v>-1.8</v>
      </c>
      <c r="J69">
        <v>-2</v>
      </c>
      <c r="K69" t="str">
        <f t="shared" ref="K69:K78" si="12">IF(H69&gt;0,"W","E")</f>
        <v>E</v>
      </c>
      <c r="L69">
        <f t="shared" si="9"/>
        <v>0</v>
      </c>
      <c r="M69">
        <f t="shared" si="10"/>
        <v>-1.2250000000000001</v>
      </c>
      <c r="N69">
        <f t="shared" si="11"/>
        <v>-1.3680000000000001</v>
      </c>
      <c r="O69">
        <v>-1.2250000000000001</v>
      </c>
      <c r="P69">
        <v>-1.3680000000000001</v>
      </c>
    </row>
    <row r="70" spans="1:16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>
        <v>1</v>
      </c>
      <c r="I70">
        <v>-2.2000000000000002</v>
      </c>
      <c r="J70">
        <v>-2.2999999999999998</v>
      </c>
      <c r="K70" t="str">
        <f t="shared" si="12"/>
        <v>W</v>
      </c>
      <c r="L70">
        <f t="shared" si="9"/>
        <v>0</v>
      </c>
      <c r="M70">
        <f t="shared" si="10"/>
        <v>0</v>
      </c>
      <c r="N70">
        <f t="shared" si="11"/>
        <v>-1.6140000000000001</v>
      </c>
      <c r="O70">
        <v>0</v>
      </c>
      <c r="P70">
        <v>-1.6140000000000001</v>
      </c>
    </row>
    <row r="71" spans="1:16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>
        <v>1</v>
      </c>
      <c r="I71">
        <v>-2.2000000000000002</v>
      </c>
      <c r="J71">
        <v>-2.2999999999999998</v>
      </c>
      <c r="K71" t="str">
        <f t="shared" si="12"/>
        <v>W</v>
      </c>
      <c r="L71">
        <f t="shared" si="9"/>
        <v>0</v>
      </c>
      <c r="M71">
        <f t="shared" si="10"/>
        <v>0</v>
      </c>
      <c r="N71">
        <f t="shared" si="11"/>
        <v>-1.5640000000000001</v>
      </c>
      <c r="O71">
        <v>0</v>
      </c>
      <c r="P71">
        <v>-1.5640000000000001</v>
      </c>
    </row>
    <row r="72" spans="1:16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>
        <v>1</v>
      </c>
      <c r="I72">
        <v>-2.2000000000000002</v>
      </c>
      <c r="J72">
        <v>-2.2999999999999998</v>
      </c>
      <c r="K72" t="str">
        <f t="shared" si="12"/>
        <v>W</v>
      </c>
      <c r="L72">
        <f t="shared" si="9"/>
        <v>0</v>
      </c>
      <c r="M72">
        <f t="shared" si="10"/>
        <v>-1.2509999999999999</v>
      </c>
      <c r="N72">
        <f t="shared" si="11"/>
        <v>-1.431</v>
      </c>
      <c r="O72">
        <v>-1.2509999999999999</v>
      </c>
      <c r="P72">
        <v>-1.431</v>
      </c>
    </row>
    <row r="73" spans="1:16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>
        <v>-1</v>
      </c>
      <c r="I73">
        <v>-1.8</v>
      </c>
      <c r="J73">
        <v>-2</v>
      </c>
      <c r="K73" t="str">
        <f t="shared" si="12"/>
        <v>E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>
        <v>-1</v>
      </c>
      <c r="I74">
        <v>-1.8</v>
      </c>
      <c r="J74">
        <v>-2</v>
      </c>
      <c r="K74" t="str">
        <f t="shared" si="12"/>
        <v>E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>
        <v>1</v>
      </c>
      <c r="I75">
        <v>-1.95</v>
      </c>
      <c r="J75">
        <v>-1.95</v>
      </c>
      <c r="K75" t="str">
        <f t="shared" si="12"/>
        <v>W</v>
      </c>
      <c r="L75">
        <f t="shared" si="9"/>
        <v>0</v>
      </c>
      <c r="M75">
        <f t="shared" si="10"/>
        <v>0</v>
      </c>
      <c r="N75">
        <f t="shared" si="11"/>
        <v>-1.284</v>
      </c>
      <c r="O75">
        <v>0</v>
      </c>
      <c r="P75">
        <v>-1.284</v>
      </c>
    </row>
    <row r="76" spans="1:16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>
        <v>1</v>
      </c>
      <c r="I76">
        <v>-1.95</v>
      </c>
      <c r="J76">
        <v>-1.95</v>
      </c>
      <c r="K76" t="str">
        <f t="shared" si="12"/>
        <v>W</v>
      </c>
      <c r="L76">
        <f t="shared" si="9"/>
        <v>0</v>
      </c>
      <c r="M76">
        <f t="shared" si="10"/>
        <v>-0.88600000000000001</v>
      </c>
      <c r="N76">
        <f t="shared" si="11"/>
        <v>-1.1819999999999999</v>
      </c>
      <c r="O76">
        <v>-0.88600000000000001</v>
      </c>
      <c r="P76">
        <v>-1.1819999999999999</v>
      </c>
    </row>
    <row r="77" spans="1:16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>
        <v>-1</v>
      </c>
      <c r="I77">
        <v>-1.45</v>
      </c>
      <c r="J77">
        <v>-1.65</v>
      </c>
      <c r="K77" t="str">
        <f t="shared" si="12"/>
        <v>E</v>
      </c>
      <c r="L77">
        <f t="shared" si="9"/>
        <v>0</v>
      </c>
      <c r="M77">
        <f t="shared" si="10"/>
        <v>-0.93300000000000005</v>
      </c>
      <c r="N77">
        <f t="shared" si="11"/>
        <v>-1.1859999999999999</v>
      </c>
      <c r="O77">
        <v>-0.93300000000000005</v>
      </c>
      <c r="P77">
        <v>-1.1859999999999999</v>
      </c>
    </row>
    <row r="78" spans="1:16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>
        <v>-1</v>
      </c>
      <c r="I78">
        <v>-1.45</v>
      </c>
      <c r="J78">
        <v>-1.65</v>
      </c>
      <c r="K78" t="str">
        <f t="shared" si="12"/>
        <v>E</v>
      </c>
      <c r="L78">
        <f t="shared" si="9"/>
        <v>0</v>
      </c>
      <c r="M78">
        <f t="shared" si="10"/>
        <v>-1.2070000000000001</v>
      </c>
      <c r="N78">
        <f t="shared" si="11"/>
        <v>-1.3720000000000001</v>
      </c>
      <c r="O78">
        <v>-1.2070000000000001</v>
      </c>
      <c r="P78">
        <v>-1.3720000000000001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7A04-5F13-8A4E-9FE0-C5F28B59E7E3}">
  <dimension ref="A1:P4"/>
  <sheetViews>
    <sheetView workbookViewId="0">
      <selection activeCell="E2" sqref="E2"/>
    </sheetView>
  </sheetViews>
  <sheetFormatPr baseColWidth="10" defaultRowHeight="16" x14ac:dyDescent="0.2"/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86</v>
      </c>
      <c r="M1" t="s">
        <v>85</v>
      </c>
      <c r="N1" t="s">
        <v>84</v>
      </c>
      <c r="O1" t="s">
        <v>89</v>
      </c>
      <c r="P1" t="s">
        <v>90</v>
      </c>
    </row>
    <row r="2" spans="1:16" x14ac:dyDescent="0.2">
      <c r="A2" s="28">
        <v>601</v>
      </c>
      <c r="B2" s="28">
        <v>129045.2</v>
      </c>
      <c r="C2" s="28">
        <v>474043.1</v>
      </c>
      <c r="D2" s="28">
        <v>6</v>
      </c>
      <c r="E2" s="28">
        <v>476.3</v>
      </c>
      <c r="F2" s="28">
        <v>129515</v>
      </c>
      <c r="G2" s="28">
        <v>473962</v>
      </c>
      <c r="H2" s="28">
        <v>1</v>
      </c>
      <c r="I2" s="28">
        <v>-2.6</v>
      </c>
      <c r="J2" s="28">
        <v>-2.6</v>
      </c>
      <c r="K2" s="28" t="s">
        <v>5</v>
      </c>
      <c r="L2" s="28">
        <v>0</v>
      </c>
      <c r="M2" s="28">
        <v>-1.5580000000000001</v>
      </c>
      <c r="N2" s="28">
        <v>-1.698</v>
      </c>
      <c r="O2" s="28">
        <v>-1.5580000000000001</v>
      </c>
      <c r="P2" s="28">
        <v>-1.698</v>
      </c>
    </row>
    <row r="3" spans="1:16" x14ac:dyDescent="0.2">
      <c r="A3" s="28">
        <v>602</v>
      </c>
      <c r="B3" s="28">
        <v>129311.3</v>
      </c>
      <c r="C3" s="28">
        <v>474110.7</v>
      </c>
      <c r="D3" s="28">
        <v>6</v>
      </c>
      <c r="E3" s="28">
        <v>225.7</v>
      </c>
      <c r="F3" s="28">
        <v>129534</v>
      </c>
      <c r="G3" s="28">
        <v>474072</v>
      </c>
      <c r="H3" s="28">
        <v>1</v>
      </c>
      <c r="I3" s="28">
        <v>-2.6</v>
      </c>
      <c r="J3" s="28">
        <v>-2.6</v>
      </c>
      <c r="K3" s="28" t="s">
        <v>5</v>
      </c>
      <c r="L3" s="28">
        <v>0</v>
      </c>
      <c r="M3" s="28">
        <v>-1.415</v>
      </c>
      <c r="N3" s="28">
        <v>-1.6359999999999999</v>
      </c>
      <c r="O3" s="28">
        <v>-1.415</v>
      </c>
      <c r="P3" s="28">
        <v>-1.6359999999999999</v>
      </c>
    </row>
    <row r="4" spans="1:16" x14ac:dyDescent="0.2">
      <c r="A4" s="28">
        <v>603</v>
      </c>
      <c r="B4" s="28">
        <v>129485.6</v>
      </c>
      <c r="C4" s="28">
        <v>474227.9</v>
      </c>
      <c r="D4" s="28">
        <v>6</v>
      </c>
      <c r="E4" s="28">
        <v>73.900000000000006</v>
      </c>
      <c r="F4" s="28">
        <v>129558</v>
      </c>
      <c r="G4" s="28">
        <v>474215</v>
      </c>
      <c r="H4" s="28">
        <v>1</v>
      </c>
      <c r="I4" s="28">
        <v>-2.6</v>
      </c>
      <c r="J4" s="28">
        <v>-2.6</v>
      </c>
      <c r="K4" s="28" t="s">
        <v>5</v>
      </c>
      <c r="L4" s="28">
        <v>0</v>
      </c>
      <c r="M4" s="28">
        <v>-1.196</v>
      </c>
      <c r="N4" s="28">
        <v>-1.4850000000000001</v>
      </c>
      <c r="O4" s="28">
        <v>-1.196</v>
      </c>
      <c r="P4" s="28">
        <v>-1.4850000000000001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294E-026C-7C43-944B-85AEB4D9DBE0}">
  <dimension ref="A1:I6"/>
  <sheetViews>
    <sheetView zoomScale="274" zoomScaleNormal="274" workbookViewId="0">
      <selection activeCell="A6" sqref="A6"/>
    </sheetView>
  </sheetViews>
  <sheetFormatPr baseColWidth="10" defaultRowHeight="16" x14ac:dyDescent="0.2"/>
  <cols>
    <col min="1" max="1" width="6.1640625" bestFit="1" customWidth="1"/>
    <col min="2" max="2" width="9.6640625" style="1" bestFit="1" customWidth="1"/>
    <col min="3" max="3" width="10.5" style="1" bestFit="1" customWidth="1"/>
    <col min="4" max="4" width="5.83203125" bestFit="1" customWidth="1"/>
    <col min="5" max="5" width="6.1640625" bestFit="1" customWidth="1"/>
    <col min="6" max="6" width="10.5" bestFit="1" customWidth="1"/>
    <col min="7" max="7" width="10.6640625" bestFit="1" customWidth="1"/>
    <col min="8" max="8" width="6" bestFit="1" customWidth="1"/>
  </cols>
  <sheetData>
    <row r="1" spans="1:9" x14ac:dyDescent="0.2">
      <c r="A1" t="s">
        <v>121</v>
      </c>
      <c r="B1" s="1" t="s">
        <v>126</v>
      </c>
      <c r="C1" s="1" t="s">
        <v>125</v>
      </c>
      <c r="D1" t="s">
        <v>120</v>
      </c>
      <c r="E1" t="s">
        <v>119</v>
      </c>
      <c r="F1" t="s">
        <v>124</v>
      </c>
      <c r="G1" t="s">
        <v>123</v>
      </c>
      <c r="H1" t="s">
        <v>122</v>
      </c>
    </row>
    <row r="2" spans="1:9" x14ac:dyDescent="0.2">
      <c r="A2" t="s">
        <v>37</v>
      </c>
      <c r="B2" s="1" t="s">
        <v>5</v>
      </c>
      <c r="C2" s="1">
        <v>3</v>
      </c>
      <c r="D2">
        <v>12.3</v>
      </c>
      <c r="E2" s="10">
        <v>17</v>
      </c>
      <c r="F2" s="9">
        <v>45836</v>
      </c>
      <c r="G2" s="9">
        <v>45999.228229166663</v>
      </c>
      <c r="H2" s="8">
        <f>G2-F2</f>
        <v>163.22822916666337</v>
      </c>
    </row>
    <row r="3" spans="1:9" x14ac:dyDescent="0.2">
      <c r="A3" t="s">
        <v>38</v>
      </c>
      <c r="B3" s="1" t="s">
        <v>14</v>
      </c>
      <c r="C3" s="1">
        <v>19</v>
      </c>
      <c r="D3">
        <v>12</v>
      </c>
      <c r="E3" s="10">
        <v>19</v>
      </c>
      <c r="F3" s="9">
        <v>45836</v>
      </c>
      <c r="G3" s="9">
        <v>45970.644212962965</v>
      </c>
      <c r="H3" s="8">
        <f t="shared" ref="H3:H5" si="0">G3-F3</f>
        <v>134.64421296296496</v>
      </c>
      <c r="I3" s="2"/>
    </row>
    <row r="4" spans="1:9" x14ac:dyDescent="0.2">
      <c r="A4" t="s">
        <v>45</v>
      </c>
      <c r="B4" s="1" t="s">
        <v>5</v>
      </c>
      <c r="C4" s="1">
        <v>28</v>
      </c>
      <c r="D4">
        <v>12.8</v>
      </c>
      <c r="E4" s="10" t="e">
        <f>NA()</f>
        <v>#N/A</v>
      </c>
      <c r="F4" s="9">
        <v>45834.978032407409</v>
      </c>
      <c r="G4" s="9">
        <v>45674.76866898148</v>
      </c>
      <c r="H4" s="8" t="e">
        <f>NA()</f>
        <v>#N/A</v>
      </c>
    </row>
    <row r="5" spans="1:9" x14ac:dyDescent="0.2">
      <c r="A5" t="s">
        <v>46</v>
      </c>
      <c r="B5" s="1" t="s">
        <v>14</v>
      </c>
      <c r="C5" s="1">
        <v>24</v>
      </c>
      <c r="D5">
        <v>14.2</v>
      </c>
      <c r="E5" s="10">
        <v>17.399999999999999</v>
      </c>
      <c r="F5" s="9">
        <v>45973.417118055557</v>
      </c>
      <c r="G5" s="9">
        <v>45846.849756944444</v>
      </c>
      <c r="H5" s="8">
        <f t="shared" si="0"/>
        <v>-126.5673611111124</v>
      </c>
    </row>
    <row r="6" spans="1:9" x14ac:dyDescent="0.2">
      <c r="E6" s="9"/>
      <c r="F6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048BC-F0C9-E948-9AD7-CE95095093FB}">
  <dimension ref="A1:J17"/>
  <sheetViews>
    <sheetView topLeftCell="B2" zoomScale="252" zoomScaleNormal="252" workbookViewId="0">
      <selection activeCell="B17" sqref="B17"/>
    </sheetView>
  </sheetViews>
  <sheetFormatPr baseColWidth="10" defaultRowHeight="16" x14ac:dyDescent="0.2"/>
  <cols>
    <col min="5" max="6" width="10.83203125" style="12"/>
  </cols>
  <sheetData>
    <row r="1" spans="1:10" x14ac:dyDescent="0.2">
      <c r="B1" s="13" t="s">
        <v>136</v>
      </c>
      <c r="C1" s="13" t="s">
        <v>135</v>
      </c>
      <c r="D1" s="14" t="s">
        <v>137</v>
      </c>
      <c r="E1" s="14" t="s">
        <v>138</v>
      </c>
      <c r="F1" s="14" t="s">
        <v>139</v>
      </c>
      <c r="G1" s="14" t="s">
        <v>140</v>
      </c>
      <c r="H1" s="14" t="s">
        <v>141</v>
      </c>
      <c r="I1" s="14" t="s">
        <v>142</v>
      </c>
      <c r="J1" s="14" t="s">
        <v>147</v>
      </c>
    </row>
    <row r="2" spans="1:10" x14ac:dyDescent="0.2">
      <c r="A2" t="s">
        <v>127</v>
      </c>
      <c r="B2" s="23" t="s">
        <v>127</v>
      </c>
      <c r="C2" s="24" t="s">
        <v>133</v>
      </c>
      <c r="D2" s="24">
        <v>1E-3</v>
      </c>
      <c r="E2" s="24">
        <v>1</v>
      </c>
      <c r="F2" s="24">
        <v>5</v>
      </c>
      <c r="G2" s="24">
        <v>10</v>
      </c>
      <c r="H2" s="24">
        <v>17</v>
      </c>
      <c r="I2" s="24">
        <v>20.5</v>
      </c>
      <c r="J2" s="25">
        <v>35</v>
      </c>
    </row>
    <row r="3" spans="1:10" x14ac:dyDescent="0.2">
      <c r="B3" s="15" t="s">
        <v>145</v>
      </c>
      <c r="C3" s="16" t="s">
        <v>134</v>
      </c>
      <c r="D3" s="16">
        <v>-0.4</v>
      </c>
      <c r="E3" s="16">
        <v>-0.4</v>
      </c>
      <c r="F3" s="16">
        <v>-0.4</v>
      </c>
      <c r="G3" s="16">
        <v>-0.4</v>
      </c>
      <c r="H3" s="16">
        <v>-0.4</v>
      </c>
      <c r="I3" s="16"/>
      <c r="J3" s="17">
        <v>-0.4</v>
      </c>
    </row>
    <row r="4" spans="1:10" x14ac:dyDescent="0.2">
      <c r="A4" t="s">
        <v>129</v>
      </c>
      <c r="B4" s="18" t="s">
        <v>132</v>
      </c>
      <c r="C4" s="19" t="s">
        <v>134</v>
      </c>
      <c r="D4" s="26">
        <v>-0.65500000000000003</v>
      </c>
      <c r="E4" s="26">
        <v>-0.7</v>
      </c>
      <c r="F4" s="26">
        <v>-0.83799999999999997</v>
      </c>
      <c r="G4" s="26">
        <v>-0.97499999999999998</v>
      </c>
      <c r="H4" s="26">
        <v>-1.1259999999999999</v>
      </c>
      <c r="I4" s="26"/>
      <c r="J4" s="27">
        <v>-1.391</v>
      </c>
    </row>
    <row r="5" spans="1:10" x14ac:dyDescent="0.2">
      <c r="B5" s="20" t="s">
        <v>143</v>
      </c>
      <c r="C5" s="21" t="s">
        <v>144</v>
      </c>
      <c r="D5" s="21">
        <v>-2.2999999999999998</v>
      </c>
      <c r="E5" s="21">
        <v>-2.2999999999999998</v>
      </c>
      <c r="F5" s="21">
        <v>-2.2999999999999998</v>
      </c>
      <c r="G5" s="21">
        <v>-2.2999999999999998</v>
      </c>
      <c r="H5" s="21">
        <v>-2.2999999999999998</v>
      </c>
      <c r="I5" s="21"/>
      <c r="J5" s="22">
        <v>-2.2999999999999998</v>
      </c>
    </row>
    <row r="6" spans="1:10" x14ac:dyDescent="0.2">
      <c r="A6" t="s">
        <v>131</v>
      </c>
      <c r="B6" s="23" t="s">
        <v>130</v>
      </c>
      <c r="C6" s="24" t="s">
        <v>134</v>
      </c>
      <c r="D6" s="24">
        <v>36.6</v>
      </c>
      <c r="E6" s="24">
        <v>36.6</v>
      </c>
      <c r="F6" s="24">
        <v>36.6</v>
      </c>
      <c r="G6" s="24">
        <v>36.6</v>
      </c>
      <c r="H6" s="24">
        <v>36.6</v>
      </c>
      <c r="I6" s="24"/>
      <c r="J6" s="25">
        <v>36.6</v>
      </c>
    </row>
    <row r="7" spans="1:10" x14ac:dyDescent="0.2">
      <c r="A7" t="s">
        <v>128</v>
      </c>
      <c r="B7" s="15" t="s">
        <v>128</v>
      </c>
      <c r="C7" s="16" t="s">
        <v>133</v>
      </c>
      <c r="D7" s="16">
        <v>10.8</v>
      </c>
      <c r="E7" s="16">
        <v>12.6</v>
      </c>
      <c r="F7" s="16">
        <v>18.5</v>
      </c>
      <c r="G7" s="16">
        <v>24.3</v>
      </c>
      <c r="H7" s="16">
        <v>30.6</v>
      </c>
      <c r="I7" s="16"/>
      <c r="J7" s="17">
        <v>41.8</v>
      </c>
    </row>
    <row r="8" spans="1:10" x14ac:dyDescent="0.2">
      <c r="A8" t="s">
        <v>130</v>
      </c>
      <c r="B8" s="20" t="s">
        <v>131</v>
      </c>
      <c r="C8" s="21" t="s">
        <v>133</v>
      </c>
      <c r="D8" s="21">
        <v>42.6</v>
      </c>
      <c r="E8" s="21">
        <v>41.5</v>
      </c>
      <c r="F8" s="21">
        <v>38</v>
      </c>
      <c r="G8" s="21">
        <v>34.5</v>
      </c>
      <c r="H8" s="21">
        <v>30.6</v>
      </c>
      <c r="I8" s="21"/>
      <c r="J8" s="22">
        <v>23.7</v>
      </c>
    </row>
    <row r="10" spans="1:10" x14ac:dyDescent="0.2">
      <c r="B10" t="s">
        <v>146</v>
      </c>
      <c r="D10" s="11">
        <f>D4-$J$4</f>
        <v>0.73599999999999999</v>
      </c>
      <c r="E10" s="11">
        <f t="shared" ref="E10:J10" si="0">E4-$J$4</f>
        <v>0.69100000000000006</v>
      </c>
      <c r="F10" s="11">
        <f t="shared" si="0"/>
        <v>0.55300000000000005</v>
      </c>
      <c r="G10" s="11">
        <f t="shared" si="0"/>
        <v>0.41600000000000004</v>
      </c>
      <c r="H10" s="11">
        <f t="shared" si="0"/>
        <v>0.26500000000000012</v>
      </c>
      <c r="I10" s="11"/>
      <c r="J10" s="11">
        <f t="shared" si="0"/>
        <v>0</v>
      </c>
    </row>
    <row r="12" spans="1:10" x14ac:dyDescent="0.2">
      <c r="E12" s="12">
        <f>35/1.7</f>
        <v>20.588235294117649</v>
      </c>
    </row>
    <row r="13" spans="1:10" x14ac:dyDescent="0.2">
      <c r="E13" s="12">
        <f>10.5/1.7</f>
        <v>6.1764705882352944</v>
      </c>
    </row>
    <row r="14" spans="1:10" x14ac:dyDescent="0.2">
      <c r="E14" s="12">
        <f>41.8/1.7</f>
        <v>24.588235294117645</v>
      </c>
    </row>
    <row r="16" spans="1:10" x14ac:dyDescent="0.2">
      <c r="B16">
        <v>5</v>
      </c>
      <c r="C16">
        <f>30/(20+B16)</f>
        <v>1.2</v>
      </c>
    </row>
    <row r="17" spans="2:3" x14ac:dyDescent="0.2">
      <c r="B17">
        <v>25</v>
      </c>
      <c r="C17">
        <f>30/(20+B17)</f>
        <v>0.66666666666666663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120DA-4889-CE46-967A-1E97B2CF047D}">
  <dimension ref="A1:N25"/>
  <sheetViews>
    <sheetView workbookViewId="0">
      <selection activeCell="C20" sqref="C20"/>
    </sheetView>
  </sheetViews>
  <sheetFormatPr baseColWidth="10" defaultRowHeight="16" x14ac:dyDescent="0.2"/>
  <sheetData>
    <row r="1" spans="1:14" x14ac:dyDescent="0.2">
      <c r="A1" t="s">
        <v>2</v>
      </c>
      <c r="B1" t="s">
        <v>0</v>
      </c>
      <c r="C1" t="s">
        <v>1</v>
      </c>
      <c r="D1" t="s">
        <v>9</v>
      </c>
      <c r="E1" t="s">
        <v>16</v>
      </c>
      <c r="F1" t="s">
        <v>8</v>
      </c>
      <c r="G1" t="s">
        <v>13</v>
      </c>
      <c r="H1" t="s">
        <v>12</v>
      </c>
      <c r="I1" t="s">
        <v>11</v>
      </c>
      <c r="J1" t="s">
        <v>10</v>
      </c>
      <c r="K1" t="s">
        <v>15</v>
      </c>
      <c r="L1" t="s">
        <v>6</v>
      </c>
      <c r="M1" t="s">
        <v>7</v>
      </c>
      <c r="N1" t="s">
        <v>84</v>
      </c>
    </row>
    <row r="2" spans="1:14" x14ac:dyDescent="0.2">
      <c r="A2">
        <v>1</v>
      </c>
      <c r="B2" s="3">
        <v>129709.5</v>
      </c>
      <c r="C2" s="3">
        <v>475363.5</v>
      </c>
      <c r="D2">
        <v>4</v>
      </c>
      <c r="E2" s="1" t="s">
        <v>17</v>
      </c>
      <c r="F2" t="s">
        <v>5</v>
      </c>
      <c r="G2">
        <v>48.5</v>
      </c>
      <c r="H2">
        <v>-2.75</v>
      </c>
      <c r="I2">
        <v>-5.25</v>
      </c>
      <c r="J2">
        <f t="shared" ref="J2:J5" si="0">H2-I2</f>
        <v>2.5</v>
      </c>
      <c r="K2">
        <v>0</v>
      </c>
      <c r="L2">
        <v>-0.4</v>
      </c>
      <c r="M2">
        <v>-0.4</v>
      </c>
      <c r="N2">
        <f t="shared" ref="N2:N11" si="1">VLOOKUP("Pb"&amp;$A2,yyy,7,FALSE)</f>
        <v>-1.3220000000000001</v>
      </c>
    </row>
    <row r="3" spans="1:14" x14ac:dyDescent="0.2">
      <c r="A3">
        <v>2</v>
      </c>
      <c r="B3" s="3">
        <v>129824.5</v>
      </c>
      <c r="C3" s="3">
        <v>475375.5</v>
      </c>
      <c r="D3">
        <v>4</v>
      </c>
      <c r="E3" s="1" t="s">
        <v>18</v>
      </c>
      <c r="F3" t="s">
        <v>14</v>
      </c>
      <c r="G3">
        <v>51.5</v>
      </c>
      <c r="H3">
        <v>-3.25</v>
      </c>
      <c r="I3">
        <v>-5.25</v>
      </c>
      <c r="J3">
        <f t="shared" si="0"/>
        <v>2</v>
      </c>
      <c r="K3">
        <v>0</v>
      </c>
      <c r="L3">
        <v>-2.2999999999999998</v>
      </c>
      <c r="M3">
        <v>-2.2999999999999998</v>
      </c>
      <c r="N3">
        <f t="shared" si="1"/>
        <v>-1.3759999999999999</v>
      </c>
    </row>
    <row r="4" spans="1:14" x14ac:dyDescent="0.2">
      <c r="A4">
        <v>3</v>
      </c>
      <c r="B4" s="3">
        <v>129798.5</v>
      </c>
      <c r="C4" s="3">
        <v>475375.5</v>
      </c>
      <c r="D4">
        <v>4</v>
      </c>
      <c r="E4" s="1" t="s">
        <v>17</v>
      </c>
      <c r="F4" t="s">
        <v>14</v>
      </c>
      <c r="G4">
        <v>48.5</v>
      </c>
      <c r="H4">
        <v>-2</v>
      </c>
      <c r="I4">
        <v>-5.25</v>
      </c>
      <c r="J4">
        <f t="shared" si="0"/>
        <v>3.25</v>
      </c>
      <c r="K4">
        <v>1</v>
      </c>
      <c r="L4">
        <v>-0.4</v>
      </c>
      <c r="M4">
        <v>-0.4</v>
      </c>
      <c r="N4">
        <f t="shared" si="1"/>
        <v>-1.1439999999999999</v>
      </c>
    </row>
    <row r="5" spans="1:14" x14ac:dyDescent="0.2">
      <c r="A5">
        <v>4</v>
      </c>
      <c r="B5" s="3">
        <v>129629.5</v>
      </c>
      <c r="C5" s="3">
        <v>474900.5</v>
      </c>
      <c r="D5">
        <v>5</v>
      </c>
      <c r="E5" s="1" t="s">
        <v>17</v>
      </c>
      <c r="F5" t="s">
        <v>5</v>
      </c>
      <c r="G5">
        <v>48.5</v>
      </c>
      <c r="H5">
        <v>-3.75</v>
      </c>
      <c r="I5">
        <v>-5.5</v>
      </c>
      <c r="J5">
        <f t="shared" si="0"/>
        <v>1.75</v>
      </c>
      <c r="K5">
        <v>0</v>
      </c>
      <c r="L5">
        <v>-0.4</v>
      </c>
      <c r="M5">
        <v>-0.4</v>
      </c>
      <c r="N5">
        <f t="shared" si="1"/>
        <v>-1.403</v>
      </c>
    </row>
    <row r="6" spans="1:14" x14ac:dyDescent="0.2">
      <c r="A6">
        <v>5</v>
      </c>
      <c r="B6" s="3">
        <v>129720.5</v>
      </c>
      <c r="C6" s="3">
        <v>474901.5</v>
      </c>
      <c r="D6">
        <v>5</v>
      </c>
      <c r="E6" s="1" t="s">
        <v>17</v>
      </c>
      <c r="F6" t="s">
        <v>14</v>
      </c>
      <c r="G6">
        <v>48.5</v>
      </c>
      <c r="H6">
        <v>-3.75</v>
      </c>
      <c r="I6">
        <v>-4.5</v>
      </c>
      <c r="J6">
        <f>H6-I6</f>
        <v>0.75</v>
      </c>
      <c r="K6">
        <v>0</v>
      </c>
      <c r="L6">
        <v>-0.4</v>
      </c>
      <c r="M6">
        <v>-0.4</v>
      </c>
      <c r="N6">
        <f t="shared" si="1"/>
        <v>-1.3819999999999999</v>
      </c>
    </row>
    <row r="7" spans="1:14" x14ac:dyDescent="0.2">
      <c r="A7">
        <v>6</v>
      </c>
      <c r="B7" s="3">
        <v>129720.5</v>
      </c>
      <c r="C7" s="3">
        <v>472009.5</v>
      </c>
      <c r="D7">
        <v>5</v>
      </c>
      <c r="E7" s="1" t="s">
        <v>18</v>
      </c>
      <c r="F7" t="s">
        <v>14</v>
      </c>
      <c r="G7">
        <v>51.5</v>
      </c>
      <c r="H7">
        <v>-1.5</v>
      </c>
      <c r="I7">
        <v>-4.25</v>
      </c>
      <c r="J7">
        <f t="shared" ref="J7:J11" si="2">H7-I7</f>
        <v>2.75</v>
      </c>
      <c r="K7">
        <v>1</v>
      </c>
      <c r="L7">
        <v>-2.2999999999999998</v>
      </c>
      <c r="M7">
        <v>-2.2999999999999998</v>
      </c>
      <c r="N7">
        <f t="shared" si="1"/>
        <v>-1.502</v>
      </c>
    </row>
    <row r="8" spans="1:14" x14ac:dyDescent="0.2">
      <c r="A8">
        <v>7</v>
      </c>
      <c r="B8" s="3">
        <v>129129.5</v>
      </c>
      <c r="C8" s="3">
        <v>471968.5</v>
      </c>
      <c r="D8">
        <v>9</v>
      </c>
      <c r="E8" s="1" t="s">
        <v>17</v>
      </c>
      <c r="F8" t="s">
        <v>5</v>
      </c>
      <c r="G8">
        <v>48.5</v>
      </c>
      <c r="H8">
        <v>-3.75</v>
      </c>
      <c r="I8">
        <v>-6.75</v>
      </c>
      <c r="J8">
        <f t="shared" si="2"/>
        <v>3</v>
      </c>
      <c r="K8">
        <v>0</v>
      </c>
      <c r="L8">
        <v>-0.4</v>
      </c>
      <c r="M8">
        <v>-0.4</v>
      </c>
      <c r="N8">
        <f t="shared" si="1"/>
        <v>-1.4890000000000001</v>
      </c>
    </row>
    <row r="9" spans="1:14" x14ac:dyDescent="0.2">
      <c r="A9">
        <v>8</v>
      </c>
      <c r="B9" s="3">
        <v>129212.5</v>
      </c>
      <c r="C9" s="3">
        <v>471972.5</v>
      </c>
      <c r="D9">
        <v>9</v>
      </c>
      <c r="E9" s="1" t="s">
        <v>18</v>
      </c>
      <c r="F9" t="s">
        <v>14</v>
      </c>
      <c r="G9">
        <v>51.5</v>
      </c>
      <c r="H9">
        <v>-4</v>
      </c>
      <c r="I9">
        <v>-7.25</v>
      </c>
      <c r="J9">
        <f t="shared" si="2"/>
        <v>3.25</v>
      </c>
      <c r="K9">
        <v>0</v>
      </c>
      <c r="L9">
        <v>-2.25</v>
      </c>
      <c r="M9">
        <v>-2.25</v>
      </c>
      <c r="N9">
        <f t="shared" si="1"/>
        <v>-1.5649999999999999</v>
      </c>
    </row>
    <row r="10" spans="1:14" x14ac:dyDescent="0.2">
      <c r="A10">
        <v>9</v>
      </c>
      <c r="B10" s="3">
        <v>129244.5</v>
      </c>
      <c r="C10" s="3">
        <v>471974.5</v>
      </c>
      <c r="D10">
        <v>9</v>
      </c>
      <c r="E10" s="1" t="s">
        <v>17</v>
      </c>
      <c r="F10" t="s">
        <v>14</v>
      </c>
      <c r="G10">
        <v>48.5</v>
      </c>
      <c r="H10">
        <v>-3</v>
      </c>
      <c r="I10">
        <v>-7.25</v>
      </c>
      <c r="J10">
        <f t="shared" si="2"/>
        <v>4.25</v>
      </c>
      <c r="K10">
        <v>1</v>
      </c>
      <c r="L10">
        <v>-0.4</v>
      </c>
      <c r="M10">
        <v>-0.4</v>
      </c>
      <c r="N10">
        <f t="shared" si="1"/>
        <v>-1.4810000000000001</v>
      </c>
    </row>
    <row r="11" spans="1:14" x14ac:dyDescent="0.2">
      <c r="A11">
        <v>10</v>
      </c>
      <c r="B11" s="3">
        <v>128657.5</v>
      </c>
      <c r="C11" s="3">
        <v>469338.5</v>
      </c>
      <c r="D11">
        <v>11</v>
      </c>
      <c r="E11" s="1" t="s">
        <v>17</v>
      </c>
      <c r="F11" t="s">
        <v>5</v>
      </c>
      <c r="G11">
        <v>48.5</v>
      </c>
      <c r="H11">
        <v>-2.75</v>
      </c>
      <c r="I11">
        <v>-7.25</v>
      </c>
      <c r="J11">
        <f t="shared" si="2"/>
        <v>4.5</v>
      </c>
      <c r="K11">
        <v>0</v>
      </c>
      <c r="L11">
        <v>-0.4</v>
      </c>
      <c r="M11">
        <v>-0.4</v>
      </c>
      <c r="N11">
        <f t="shared" si="1"/>
        <v>-1.5589999999999999</v>
      </c>
    </row>
    <row r="14" spans="1:14" x14ac:dyDescent="0.2">
      <c r="B14" s="3"/>
      <c r="C14" s="3"/>
    </row>
    <row r="15" spans="1:14" x14ac:dyDescent="0.2">
      <c r="B15" s="3"/>
      <c r="C15" s="3"/>
    </row>
    <row r="16" spans="1:14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B153B-BE8A-8445-8BB9-AE4D4CAEE74C}">
  <dimension ref="A1:O88"/>
  <sheetViews>
    <sheetView topLeftCell="A31" workbookViewId="0">
      <selection activeCell="O16" sqref="O16"/>
    </sheetView>
  </sheetViews>
  <sheetFormatPr baseColWidth="10" defaultRowHeight="16" x14ac:dyDescent="0.2"/>
  <sheetData>
    <row r="1" spans="1:15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8</v>
      </c>
      <c r="I1" t="s">
        <v>6</v>
      </c>
      <c r="J1" t="s">
        <v>7</v>
      </c>
      <c r="K1" t="s">
        <v>86</v>
      </c>
      <c r="L1" t="s">
        <v>85</v>
      </c>
      <c r="M1" t="s">
        <v>84</v>
      </c>
      <c r="N1" t="s">
        <v>89</v>
      </c>
      <c r="O1" t="s">
        <v>90</v>
      </c>
    </row>
    <row r="2" spans="1:15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 t="s">
        <v>5</v>
      </c>
      <c r="I2">
        <v>-2.2999999999999998</v>
      </c>
      <c r="J2">
        <v>-2</v>
      </c>
      <c r="K2">
        <v>0</v>
      </c>
      <c r="L2">
        <v>-1.6919999999999999</v>
      </c>
      <c r="M2">
        <v>-1.78</v>
      </c>
      <c r="N2">
        <v>-1.6919999999999999</v>
      </c>
      <c r="O2">
        <v>-1.78</v>
      </c>
    </row>
    <row r="3" spans="1:15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 t="s">
        <v>14</v>
      </c>
      <c r="I3">
        <v>-2.2999999999999998</v>
      </c>
      <c r="J3">
        <v>-2</v>
      </c>
      <c r="K3">
        <v>0</v>
      </c>
      <c r="L3">
        <v>-1.7390000000000001</v>
      </c>
      <c r="M3">
        <v>-1.841</v>
      </c>
      <c r="N3">
        <v>-1.7390000000000001</v>
      </c>
      <c r="O3">
        <v>-1.841</v>
      </c>
    </row>
    <row r="4" spans="1:15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 t="s">
        <v>5</v>
      </c>
      <c r="I4">
        <v>-2.2999999999999998</v>
      </c>
      <c r="J4">
        <v>-2</v>
      </c>
      <c r="K4">
        <v>0</v>
      </c>
      <c r="L4">
        <v>-1.4810000000000001</v>
      </c>
      <c r="M4">
        <v>-1.6839999999999999</v>
      </c>
      <c r="N4">
        <v>-1.4810000000000001</v>
      </c>
      <c r="O4">
        <v>-1.6839999999999999</v>
      </c>
    </row>
    <row r="5" spans="1:15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 t="s">
        <v>14</v>
      </c>
      <c r="I5">
        <v>-2.2999999999999998</v>
      </c>
      <c r="J5">
        <v>-2</v>
      </c>
      <c r="K5">
        <v>0</v>
      </c>
      <c r="L5">
        <v>-1.49</v>
      </c>
      <c r="M5">
        <v>-1.7</v>
      </c>
      <c r="N5">
        <v>-1.49</v>
      </c>
      <c r="O5">
        <v>-1.7</v>
      </c>
    </row>
    <row r="6" spans="1:15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 t="s">
        <v>5</v>
      </c>
      <c r="I6">
        <v>-2.2999999999999998</v>
      </c>
      <c r="J6">
        <v>-2.2999999999999998</v>
      </c>
      <c r="K6">
        <v>0</v>
      </c>
      <c r="L6">
        <v>0</v>
      </c>
      <c r="M6">
        <v>-1.6539999999999999</v>
      </c>
      <c r="N6">
        <v>0</v>
      </c>
      <c r="O6">
        <v>-1.6539999999999999</v>
      </c>
    </row>
    <row r="7" spans="1:15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 t="s">
        <v>5</v>
      </c>
      <c r="I7">
        <v>-2.2999999999999998</v>
      </c>
      <c r="J7">
        <v>-2.2999999999999998</v>
      </c>
      <c r="K7">
        <v>0</v>
      </c>
      <c r="L7">
        <v>-1.2350000000000001</v>
      </c>
      <c r="M7">
        <v>-1.556</v>
      </c>
      <c r="N7">
        <v>-1.2350000000000001</v>
      </c>
      <c r="O7">
        <v>-1.556</v>
      </c>
    </row>
    <row r="8" spans="1:15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 t="s">
        <v>14</v>
      </c>
      <c r="I8">
        <v>-2.1</v>
      </c>
      <c r="J8">
        <v>-2.1</v>
      </c>
      <c r="K8">
        <v>0</v>
      </c>
      <c r="L8">
        <v>-1.1160000000000001</v>
      </c>
      <c r="M8">
        <v>0</v>
      </c>
      <c r="N8">
        <v>-1.1160000000000001</v>
      </c>
      <c r="O8">
        <v>0</v>
      </c>
    </row>
    <row r="9" spans="1:15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 t="s">
        <v>14</v>
      </c>
      <c r="I9">
        <v>-2.1</v>
      </c>
      <c r="J9">
        <v>-2.1</v>
      </c>
      <c r="K9">
        <v>0</v>
      </c>
      <c r="L9">
        <v>-1.262</v>
      </c>
      <c r="M9">
        <v>0</v>
      </c>
      <c r="N9">
        <v>-1.262</v>
      </c>
      <c r="O9">
        <v>0</v>
      </c>
    </row>
    <row r="10" spans="1:15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 t="s">
        <v>5</v>
      </c>
      <c r="I10">
        <v>-2.6</v>
      </c>
      <c r="J10">
        <v>-2.6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 t="s">
        <v>5</v>
      </c>
      <c r="I11">
        <v>-2.2999999999999998</v>
      </c>
      <c r="J11">
        <v>-2.2999999999999998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 t="s">
        <v>5</v>
      </c>
      <c r="I12">
        <v>-2.2999999999999998</v>
      </c>
      <c r="J12">
        <v>-2.2999999999999998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 t="s">
        <v>5</v>
      </c>
      <c r="I13">
        <v>-2.2999999999999998</v>
      </c>
      <c r="J13">
        <v>-2.2999999999999998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 t="s">
        <v>5</v>
      </c>
      <c r="I14">
        <v>-2.2999999999999998</v>
      </c>
      <c r="J14">
        <v>-2.2999999999999998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 t="s">
        <v>5</v>
      </c>
      <c r="I15">
        <v>-2.2999999999999998</v>
      </c>
      <c r="J15">
        <v>-2.2999999999999998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">
      <c r="A16">
        <v>406</v>
      </c>
      <c r="B16">
        <v>129699</v>
      </c>
      <c r="C16">
        <v>475345.8</v>
      </c>
      <c r="D16">
        <v>4</v>
      </c>
      <c r="E16">
        <v>52</v>
      </c>
      <c r="F16">
        <v>129750</v>
      </c>
      <c r="G16">
        <v>475338</v>
      </c>
      <c r="H16" t="s">
        <v>5</v>
      </c>
      <c r="I16">
        <v>-2.2999999999999998</v>
      </c>
      <c r="J16">
        <v>-2.2999999999999998</v>
      </c>
      <c r="K16">
        <v>0</v>
      </c>
      <c r="L16">
        <v>-0.998</v>
      </c>
      <c r="M16">
        <v>-1.49</v>
      </c>
      <c r="N16">
        <v>-0.998</v>
      </c>
      <c r="O16">
        <v>-1.49</v>
      </c>
    </row>
    <row r="17" spans="1:15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 t="s">
        <v>14</v>
      </c>
      <c r="I17">
        <v>-2.1</v>
      </c>
      <c r="J17">
        <v>-2.1</v>
      </c>
      <c r="K17">
        <v>-1.571</v>
      </c>
      <c r="L17">
        <v>-1.1040000000000001</v>
      </c>
      <c r="M17">
        <v>-1.542</v>
      </c>
      <c r="N17">
        <v>-1.1040000000000001</v>
      </c>
      <c r="O17">
        <v>-1.542</v>
      </c>
    </row>
    <row r="18" spans="1:15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 t="s">
        <v>14</v>
      </c>
      <c r="I18">
        <v>-2.1</v>
      </c>
      <c r="J18">
        <v>-2.1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 t="s">
        <v>14</v>
      </c>
      <c r="I19">
        <v>-2.1</v>
      </c>
      <c r="J19">
        <v>-2.1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 t="s">
        <v>14</v>
      </c>
      <c r="I20">
        <v>-2.1</v>
      </c>
      <c r="J20">
        <v>-2.1</v>
      </c>
      <c r="K20">
        <v>-1.6220000000000001</v>
      </c>
      <c r="L20">
        <v>-1.399</v>
      </c>
      <c r="M20">
        <v>-1.6220000000000001</v>
      </c>
      <c r="N20">
        <v>-1.399</v>
      </c>
      <c r="O20">
        <v>-1.6220000000000001</v>
      </c>
    </row>
    <row r="21" spans="1:15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 t="s">
        <v>14</v>
      </c>
      <c r="I21">
        <v>-2.1</v>
      </c>
      <c r="J21">
        <v>-2.1</v>
      </c>
      <c r="K21">
        <v>-1.66</v>
      </c>
      <c r="L21">
        <v>-1.4470000000000001</v>
      </c>
      <c r="M21">
        <v>-1.66</v>
      </c>
      <c r="N21">
        <v>-1.4470000000000001</v>
      </c>
      <c r="O21">
        <v>-1.66</v>
      </c>
    </row>
    <row r="22" spans="1:15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 t="s">
        <v>14</v>
      </c>
      <c r="I22">
        <v>-2.1</v>
      </c>
      <c r="J22">
        <v>-2.1</v>
      </c>
      <c r="K22">
        <v>-1.669</v>
      </c>
      <c r="L22">
        <v>-1.472</v>
      </c>
      <c r="M22">
        <v>-1.669</v>
      </c>
      <c r="N22">
        <v>-1.472</v>
      </c>
      <c r="O22">
        <v>-1.669</v>
      </c>
    </row>
    <row r="23" spans="1:15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 t="s">
        <v>5</v>
      </c>
      <c r="I23">
        <v>-2.2999999999999998</v>
      </c>
      <c r="J23">
        <v>-2.2999999999999998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 t="s">
        <v>5</v>
      </c>
      <c r="I24">
        <v>-2.2999999999999998</v>
      </c>
      <c r="J24">
        <v>-2.2999999999999998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 t="s">
        <v>5</v>
      </c>
      <c r="I25">
        <v>-2.2999999999999998</v>
      </c>
      <c r="J25">
        <v>-2.2999999999999998</v>
      </c>
      <c r="K25">
        <v>-1.738</v>
      </c>
      <c r="L25">
        <v>-1.542</v>
      </c>
      <c r="M25">
        <v>-1.734</v>
      </c>
      <c r="N25">
        <v>-1.542</v>
      </c>
      <c r="O25">
        <v>-1.734</v>
      </c>
    </row>
    <row r="26" spans="1:15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 t="s">
        <v>5</v>
      </c>
      <c r="I26">
        <v>-2.2999999999999998</v>
      </c>
      <c r="J26">
        <v>-2.2999999999999998</v>
      </c>
      <c r="K26">
        <v>0</v>
      </c>
      <c r="L26">
        <v>0</v>
      </c>
      <c r="M26">
        <v>-1.5529999999999999</v>
      </c>
      <c r="N26">
        <v>0</v>
      </c>
      <c r="O26">
        <v>-1.5529999999999999</v>
      </c>
    </row>
    <row r="27" spans="1:15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 t="s">
        <v>5</v>
      </c>
      <c r="I27">
        <v>-2.2999999999999998</v>
      </c>
      <c r="J27">
        <v>-2.2999999999999998</v>
      </c>
      <c r="K27">
        <v>-1.6359999999999999</v>
      </c>
      <c r="L27">
        <v>-1.2849999999999999</v>
      </c>
      <c r="M27">
        <v>-1.6220000000000001</v>
      </c>
      <c r="N27">
        <v>-1.2849999999999999</v>
      </c>
      <c r="O27">
        <v>-1.6220000000000001</v>
      </c>
    </row>
    <row r="28" spans="1:15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 t="s">
        <v>5</v>
      </c>
      <c r="I28">
        <v>-2.2999999999999998</v>
      </c>
      <c r="J28">
        <v>-2.2999999999999998</v>
      </c>
      <c r="K28">
        <v>-1.5740000000000001</v>
      </c>
      <c r="L28">
        <v>-1.0680000000000001</v>
      </c>
      <c r="M28">
        <v>0</v>
      </c>
      <c r="N28">
        <v>-1.0680000000000001</v>
      </c>
      <c r="O28">
        <v>0</v>
      </c>
    </row>
    <row r="29" spans="1:15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 t="s">
        <v>14</v>
      </c>
      <c r="I29">
        <v>-2.2000000000000002</v>
      </c>
      <c r="J29">
        <v>-2.2000000000000002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 t="s">
        <v>14</v>
      </c>
      <c r="I30">
        <v>-2.2000000000000002</v>
      </c>
      <c r="J30">
        <v>-2.2000000000000002</v>
      </c>
      <c r="K30">
        <v>-1.819</v>
      </c>
      <c r="L30">
        <v>-1.538</v>
      </c>
      <c r="M30">
        <v>-1.821</v>
      </c>
      <c r="N30">
        <v>-1.538</v>
      </c>
      <c r="O30">
        <v>-1.821</v>
      </c>
    </row>
    <row r="31" spans="1:15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 t="s">
        <v>14</v>
      </c>
      <c r="I31">
        <v>-2.2000000000000002</v>
      </c>
      <c r="J31">
        <v>-2.2000000000000002</v>
      </c>
      <c r="K31">
        <v>0</v>
      </c>
      <c r="L31">
        <v>0</v>
      </c>
      <c r="M31">
        <v>-1.8080000000000001</v>
      </c>
      <c r="N31">
        <v>0</v>
      </c>
      <c r="O31">
        <v>-1.8080000000000001</v>
      </c>
    </row>
    <row r="32" spans="1:15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 t="s">
        <v>14</v>
      </c>
      <c r="I32">
        <v>-2.2000000000000002</v>
      </c>
      <c r="J32">
        <v>-2.2000000000000002</v>
      </c>
      <c r="K32">
        <v>-1.708</v>
      </c>
      <c r="L32">
        <v>-1.5189999999999999</v>
      </c>
      <c r="M32">
        <v>-1.7</v>
      </c>
      <c r="N32">
        <v>-1.5189999999999999</v>
      </c>
      <c r="O32">
        <v>-1.7</v>
      </c>
    </row>
    <row r="33" spans="1:15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 t="s">
        <v>14</v>
      </c>
      <c r="I33">
        <v>-2.2000000000000002</v>
      </c>
      <c r="J33">
        <v>-2.2000000000000002</v>
      </c>
      <c r="K33">
        <v>-1.698</v>
      </c>
      <c r="L33">
        <v>-1.506</v>
      </c>
      <c r="M33">
        <v>-1.698</v>
      </c>
      <c r="N33">
        <v>-1.506</v>
      </c>
      <c r="O33">
        <v>-1.698</v>
      </c>
    </row>
    <row r="34" spans="1:15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 t="s">
        <v>14</v>
      </c>
      <c r="I34">
        <v>-2.2000000000000002</v>
      </c>
      <c r="J34">
        <v>-2.2000000000000002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 t="s">
        <v>5</v>
      </c>
      <c r="I35">
        <v>-2.6</v>
      </c>
      <c r="J35">
        <v>-2.6</v>
      </c>
      <c r="K35">
        <v>0</v>
      </c>
      <c r="L35">
        <v>-1.5580000000000001</v>
      </c>
      <c r="M35">
        <v>-1.698</v>
      </c>
      <c r="N35">
        <v>-1.5580000000000001</v>
      </c>
      <c r="O35">
        <v>-1.698</v>
      </c>
    </row>
    <row r="36" spans="1:15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 t="s">
        <v>5</v>
      </c>
      <c r="I36">
        <v>-2.6</v>
      </c>
      <c r="J36">
        <v>-2.6</v>
      </c>
      <c r="K36">
        <v>0</v>
      </c>
      <c r="L36">
        <v>-1.415</v>
      </c>
      <c r="M36">
        <v>-1.6359999999999999</v>
      </c>
      <c r="N36">
        <v>-1.415</v>
      </c>
      <c r="O36">
        <v>-1.6359999999999999</v>
      </c>
    </row>
    <row r="37" spans="1:15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 t="s">
        <v>5</v>
      </c>
      <c r="I37">
        <v>-2.6</v>
      </c>
      <c r="J37">
        <v>-2.6</v>
      </c>
      <c r="K37">
        <v>0</v>
      </c>
      <c r="L37">
        <v>-1.196</v>
      </c>
      <c r="M37">
        <v>-1.4850000000000001</v>
      </c>
      <c r="N37">
        <v>-1.196</v>
      </c>
      <c r="O37">
        <v>-1.4850000000000001</v>
      </c>
    </row>
    <row r="38" spans="1:15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 t="s">
        <v>14</v>
      </c>
      <c r="I38">
        <v>-2.25</v>
      </c>
      <c r="J38">
        <v>-2.25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 t="s">
        <v>14</v>
      </c>
      <c r="I39">
        <v>-2.25</v>
      </c>
      <c r="J39">
        <v>-2.25</v>
      </c>
      <c r="K39">
        <v>0</v>
      </c>
      <c r="L39">
        <v>-1.3740000000000001</v>
      </c>
      <c r="M39">
        <v>-1.6</v>
      </c>
      <c r="N39">
        <v>-1.3740000000000001</v>
      </c>
      <c r="O39">
        <v>-1.6</v>
      </c>
    </row>
    <row r="40" spans="1:15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 t="s">
        <v>14</v>
      </c>
      <c r="I40">
        <v>-2.25</v>
      </c>
      <c r="J40">
        <v>-2.25</v>
      </c>
      <c r="K40">
        <v>0</v>
      </c>
      <c r="L40">
        <v>0</v>
      </c>
      <c r="M40">
        <v>-1.6060000000000001</v>
      </c>
      <c r="N40">
        <v>0</v>
      </c>
      <c r="O40">
        <v>-1.6060000000000001</v>
      </c>
    </row>
    <row r="41" spans="1:15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 t="s">
        <v>5</v>
      </c>
      <c r="I41">
        <v>-2.6</v>
      </c>
      <c r="J41">
        <v>-2.6</v>
      </c>
      <c r="K41">
        <v>0</v>
      </c>
      <c r="L41">
        <v>-1.6120000000000001</v>
      </c>
      <c r="M41">
        <v>-1.7130000000000001</v>
      </c>
      <c r="N41">
        <v>-1.6120000000000001</v>
      </c>
      <c r="O41">
        <v>-1.7130000000000001</v>
      </c>
    </row>
    <row r="42" spans="1:15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 t="s">
        <v>5</v>
      </c>
      <c r="I42">
        <v>-2.6</v>
      </c>
      <c r="J42">
        <v>-2.6</v>
      </c>
      <c r="K42">
        <v>0</v>
      </c>
      <c r="L42">
        <v>-1.036</v>
      </c>
      <c r="M42">
        <v>-1.4239999999999999</v>
      </c>
      <c r="N42">
        <v>-1.036</v>
      </c>
      <c r="O42">
        <v>-1.4239999999999999</v>
      </c>
    </row>
    <row r="43" spans="1:15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 t="s">
        <v>14</v>
      </c>
      <c r="I43">
        <v>-2.25</v>
      </c>
      <c r="J43">
        <v>-2.25</v>
      </c>
      <c r="K43">
        <v>0</v>
      </c>
      <c r="L43">
        <v>0</v>
      </c>
      <c r="M43">
        <v>-1.3939999999999999</v>
      </c>
      <c r="N43">
        <v>0</v>
      </c>
      <c r="O43">
        <v>-1.3939999999999999</v>
      </c>
    </row>
    <row r="44" spans="1:15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 t="s">
        <v>14</v>
      </c>
      <c r="I44">
        <v>-2.25</v>
      </c>
      <c r="J44">
        <v>-2.25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 t="s">
        <v>5</v>
      </c>
      <c r="I45">
        <v>-2.33</v>
      </c>
      <c r="J45">
        <v>-2.33</v>
      </c>
      <c r="K45">
        <v>0</v>
      </c>
      <c r="L45">
        <v>-2.472</v>
      </c>
      <c r="M45">
        <v>-2.6360000000000001</v>
      </c>
      <c r="N45">
        <v>-2.472</v>
      </c>
      <c r="O45">
        <v>-2.6360000000000001</v>
      </c>
    </row>
    <row r="46" spans="1:15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 t="s">
        <v>5</v>
      </c>
      <c r="I46">
        <v>-2.33</v>
      </c>
      <c r="J46">
        <v>-2.33</v>
      </c>
      <c r="K46">
        <v>0</v>
      </c>
      <c r="L46">
        <v>-1.341</v>
      </c>
      <c r="M46">
        <v>-1.524</v>
      </c>
      <c r="N46">
        <v>-1.341</v>
      </c>
      <c r="O46">
        <v>-1.524</v>
      </c>
    </row>
    <row r="47" spans="1:15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 t="s">
        <v>14</v>
      </c>
      <c r="I47">
        <v>-2.33</v>
      </c>
      <c r="J47">
        <v>-2.33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 t="s">
        <v>14</v>
      </c>
      <c r="I48">
        <v>-2.4</v>
      </c>
      <c r="J48">
        <v>-2.4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 t="s">
        <v>14</v>
      </c>
      <c r="I49">
        <v>-2.4</v>
      </c>
      <c r="J49">
        <v>-2.4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 t="s">
        <v>5</v>
      </c>
      <c r="I50">
        <v>-2.25</v>
      </c>
      <c r="J50">
        <v>-2.25</v>
      </c>
      <c r="K50">
        <v>0</v>
      </c>
      <c r="L50">
        <v>0</v>
      </c>
      <c r="M50">
        <v>-1.5209999999999999</v>
      </c>
      <c r="N50">
        <v>0</v>
      </c>
      <c r="O50">
        <v>-1.5209999999999999</v>
      </c>
    </row>
    <row r="51" spans="1:15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 t="s">
        <v>5</v>
      </c>
      <c r="I51">
        <v>-2.25</v>
      </c>
      <c r="J51">
        <v>-2.25</v>
      </c>
      <c r="K51">
        <v>0</v>
      </c>
      <c r="L51">
        <v>-1.395</v>
      </c>
      <c r="M51">
        <v>-1.5509999999999999</v>
      </c>
      <c r="N51">
        <v>-1.395</v>
      </c>
      <c r="O51">
        <v>-1.5509999999999999</v>
      </c>
    </row>
    <row r="52" spans="1:15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 t="s">
        <v>5</v>
      </c>
      <c r="I52">
        <v>-2.25</v>
      </c>
      <c r="J52">
        <v>-2.25</v>
      </c>
      <c r="K52">
        <v>0</v>
      </c>
      <c r="L52">
        <v>-1.325</v>
      </c>
      <c r="M52">
        <v>-1.5309999999999999</v>
      </c>
      <c r="N52">
        <v>-1.325</v>
      </c>
      <c r="O52">
        <v>-1.5309999999999999</v>
      </c>
    </row>
    <row r="53" spans="1:15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 t="s">
        <v>14</v>
      </c>
      <c r="I53">
        <v>-2.25</v>
      </c>
      <c r="J53">
        <v>-2.25</v>
      </c>
      <c r="K53">
        <v>0</v>
      </c>
      <c r="L53">
        <v>-1.331</v>
      </c>
      <c r="M53">
        <v>-1.5129999999999999</v>
      </c>
      <c r="N53">
        <v>-1.331</v>
      </c>
      <c r="O53">
        <v>-1.5129999999999999</v>
      </c>
    </row>
    <row r="54" spans="1:15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 t="s">
        <v>14</v>
      </c>
      <c r="I54">
        <v>-2.25</v>
      </c>
      <c r="J54">
        <v>-2.25</v>
      </c>
      <c r="K54">
        <v>0</v>
      </c>
      <c r="L54">
        <v>-1.321</v>
      </c>
      <c r="M54">
        <v>-1.474</v>
      </c>
      <c r="N54">
        <v>-1.321</v>
      </c>
      <c r="O54">
        <v>-1.474</v>
      </c>
    </row>
    <row r="55" spans="1:15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 t="s">
        <v>14</v>
      </c>
      <c r="I55">
        <v>-2.25</v>
      </c>
      <c r="J55">
        <v>-2.25</v>
      </c>
      <c r="K55">
        <v>0</v>
      </c>
      <c r="L55">
        <v>-1.3140000000000001</v>
      </c>
      <c r="M55">
        <v>-1.446</v>
      </c>
      <c r="N55">
        <v>-1.3140000000000001</v>
      </c>
      <c r="O55">
        <v>-1.446</v>
      </c>
    </row>
    <row r="56" spans="1:15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 t="s">
        <v>5</v>
      </c>
      <c r="I56">
        <v>-2.5</v>
      </c>
      <c r="J56">
        <v>-2.5</v>
      </c>
      <c r="K56">
        <v>0</v>
      </c>
      <c r="L56">
        <v>-1.5640000000000001</v>
      </c>
      <c r="M56">
        <v>-1.6919999999999999</v>
      </c>
      <c r="N56">
        <v>-1.5640000000000001</v>
      </c>
      <c r="O56">
        <v>-1.6919999999999999</v>
      </c>
    </row>
    <row r="57" spans="1:15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 t="s">
        <v>5</v>
      </c>
      <c r="I57">
        <v>-2.2000000000000002</v>
      </c>
      <c r="J57">
        <v>-2.2999999999999998</v>
      </c>
      <c r="K57">
        <v>0</v>
      </c>
      <c r="L57">
        <v>-1.3580000000000001</v>
      </c>
      <c r="M57">
        <v>-1.5149999999999999</v>
      </c>
      <c r="N57">
        <v>-1.3580000000000001</v>
      </c>
      <c r="O57">
        <v>-1.5149999999999999</v>
      </c>
    </row>
    <row r="58" spans="1:15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 t="s">
        <v>5</v>
      </c>
      <c r="I58">
        <v>-2.2000000000000002</v>
      </c>
      <c r="J58">
        <v>-2.2999999999999998</v>
      </c>
      <c r="K58">
        <v>0</v>
      </c>
      <c r="L58">
        <v>-1.1930000000000001</v>
      </c>
      <c r="M58">
        <v>-1.423</v>
      </c>
      <c r="N58">
        <v>-1.1930000000000001</v>
      </c>
      <c r="O58">
        <v>-1.423</v>
      </c>
    </row>
    <row r="59" spans="1:15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 t="s">
        <v>14</v>
      </c>
      <c r="I59">
        <v>-1.8</v>
      </c>
      <c r="J59">
        <v>-2</v>
      </c>
      <c r="K59">
        <v>0</v>
      </c>
      <c r="L59">
        <v>-0.89500000000000002</v>
      </c>
      <c r="M59">
        <v>-1.17</v>
      </c>
      <c r="N59">
        <v>-0.89500000000000002</v>
      </c>
      <c r="O59">
        <v>-1.17</v>
      </c>
    </row>
    <row r="60" spans="1:15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 t="s">
        <v>14</v>
      </c>
      <c r="I60">
        <v>-1.8</v>
      </c>
      <c r="J60">
        <v>-2</v>
      </c>
      <c r="K60">
        <v>0</v>
      </c>
      <c r="L60">
        <v>-1.1759999999999999</v>
      </c>
      <c r="M60">
        <v>-1.3220000000000001</v>
      </c>
      <c r="N60">
        <v>-1.1759999999999999</v>
      </c>
      <c r="O60">
        <v>-1.3220000000000001</v>
      </c>
    </row>
    <row r="61" spans="1:15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 t="s">
        <v>14</v>
      </c>
      <c r="I61">
        <v>-1.8</v>
      </c>
      <c r="J61">
        <v>-2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 t="s">
        <v>14</v>
      </c>
      <c r="I62">
        <v>-1.55</v>
      </c>
      <c r="J62">
        <v>-1.75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 t="s">
        <v>5</v>
      </c>
      <c r="I63">
        <v>-2.25</v>
      </c>
      <c r="J63">
        <v>-2.25</v>
      </c>
      <c r="K63">
        <v>0</v>
      </c>
      <c r="L63">
        <v>0</v>
      </c>
      <c r="M63">
        <v>-1.86</v>
      </c>
      <c r="N63">
        <v>0</v>
      </c>
      <c r="O63">
        <v>-1.86</v>
      </c>
    </row>
    <row r="64" spans="1:15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 t="s">
        <v>5</v>
      </c>
      <c r="I64">
        <v>-2.2000000000000002</v>
      </c>
      <c r="J64">
        <v>-2.2999999999999998</v>
      </c>
      <c r="K64">
        <v>-1.901</v>
      </c>
      <c r="L64">
        <v>-1.911</v>
      </c>
      <c r="M64">
        <v>-1.92</v>
      </c>
      <c r="N64">
        <v>-1.911</v>
      </c>
      <c r="O64">
        <v>-1.92</v>
      </c>
    </row>
    <row r="65" spans="1:15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 t="s">
        <v>5</v>
      </c>
      <c r="I65">
        <v>-2.2000000000000002</v>
      </c>
      <c r="J65">
        <v>-2.2999999999999998</v>
      </c>
      <c r="K65">
        <v>-1.8819999999999999</v>
      </c>
      <c r="L65">
        <v>-1.8859999999999999</v>
      </c>
      <c r="M65">
        <v>-1.903</v>
      </c>
      <c r="N65">
        <v>-1.8859999999999999</v>
      </c>
      <c r="O65">
        <v>-1.903</v>
      </c>
    </row>
    <row r="66" spans="1:15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 t="s">
        <v>5</v>
      </c>
      <c r="I66">
        <v>-2.2000000000000002</v>
      </c>
      <c r="J66">
        <v>-2.2999999999999998</v>
      </c>
      <c r="K66">
        <v>-1.7509999999999999</v>
      </c>
      <c r="L66">
        <v>-1.714</v>
      </c>
      <c r="M66">
        <v>-1.7649999999999999</v>
      </c>
      <c r="N66">
        <v>-1.714</v>
      </c>
      <c r="O66">
        <v>-1.7649999999999999</v>
      </c>
    </row>
    <row r="67" spans="1:15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 t="s">
        <v>5</v>
      </c>
      <c r="I67">
        <v>-2.2000000000000002</v>
      </c>
      <c r="J67">
        <v>-2.2999999999999998</v>
      </c>
      <c r="K67">
        <v>-1.5820000000000001</v>
      </c>
      <c r="L67">
        <v>-1.47</v>
      </c>
      <c r="M67">
        <v>-1.597</v>
      </c>
      <c r="N67">
        <v>-1.47</v>
      </c>
      <c r="O67">
        <v>-1.597</v>
      </c>
    </row>
    <row r="68" spans="1:15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 t="s">
        <v>14</v>
      </c>
      <c r="I68">
        <v>-1.8</v>
      </c>
      <c r="J68">
        <v>-2</v>
      </c>
      <c r="K68">
        <v>0</v>
      </c>
      <c r="L68">
        <v>-1.1559999999999999</v>
      </c>
      <c r="M68">
        <v>-1.3460000000000001</v>
      </c>
      <c r="N68">
        <v>-1.1559999999999999</v>
      </c>
      <c r="O68">
        <v>-1.3460000000000001</v>
      </c>
    </row>
    <row r="69" spans="1:15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 t="s">
        <v>14</v>
      </c>
      <c r="I69">
        <v>-1.8</v>
      </c>
      <c r="J69">
        <v>-2</v>
      </c>
      <c r="K69">
        <v>0</v>
      </c>
      <c r="L69">
        <v>-1.2250000000000001</v>
      </c>
      <c r="M69">
        <v>-1.3680000000000001</v>
      </c>
      <c r="N69">
        <v>-1.2250000000000001</v>
      </c>
      <c r="O69">
        <v>-1.3680000000000001</v>
      </c>
    </row>
    <row r="70" spans="1:15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 t="s">
        <v>5</v>
      </c>
      <c r="I70">
        <v>-2.2000000000000002</v>
      </c>
      <c r="J70">
        <v>-2.2999999999999998</v>
      </c>
      <c r="K70">
        <v>0</v>
      </c>
      <c r="L70">
        <v>0</v>
      </c>
      <c r="M70">
        <v>-1.6140000000000001</v>
      </c>
      <c r="N70">
        <v>0</v>
      </c>
      <c r="O70">
        <v>-1.6140000000000001</v>
      </c>
    </row>
    <row r="71" spans="1:15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 t="s">
        <v>5</v>
      </c>
      <c r="I71">
        <v>-2.2000000000000002</v>
      </c>
      <c r="J71">
        <v>-2.2999999999999998</v>
      </c>
      <c r="K71">
        <v>0</v>
      </c>
      <c r="L71">
        <v>0</v>
      </c>
      <c r="M71">
        <v>-1.5640000000000001</v>
      </c>
      <c r="N71">
        <v>0</v>
      </c>
      <c r="O71">
        <v>-1.5640000000000001</v>
      </c>
    </row>
    <row r="72" spans="1:15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 t="s">
        <v>5</v>
      </c>
      <c r="I72">
        <v>-2.2000000000000002</v>
      </c>
      <c r="J72">
        <v>-2.2999999999999998</v>
      </c>
      <c r="K72">
        <v>0</v>
      </c>
      <c r="L72">
        <v>-1.2509999999999999</v>
      </c>
      <c r="M72">
        <v>-1.431</v>
      </c>
      <c r="N72">
        <v>-1.2509999999999999</v>
      </c>
      <c r="O72">
        <v>-1.431</v>
      </c>
    </row>
    <row r="73" spans="1:15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 t="s">
        <v>14</v>
      </c>
      <c r="I73">
        <v>-1.8</v>
      </c>
      <c r="J73">
        <v>-2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 t="s">
        <v>14</v>
      </c>
      <c r="I74">
        <v>-1.8</v>
      </c>
      <c r="J74">
        <v>-2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 t="s">
        <v>5</v>
      </c>
      <c r="I75">
        <v>-1.95</v>
      </c>
      <c r="J75">
        <v>-1.95</v>
      </c>
      <c r="K75">
        <v>0</v>
      </c>
      <c r="L75">
        <v>0</v>
      </c>
      <c r="M75">
        <v>-1.284</v>
      </c>
      <c r="N75">
        <v>0</v>
      </c>
      <c r="O75">
        <v>-1.284</v>
      </c>
    </row>
    <row r="76" spans="1:15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 t="s">
        <v>5</v>
      </c>
      <c r="I76">
        <v>-1.95</v>
      </c>
      <c r="J76">
        <v>-1.95</v>
      </c>
      <c r="K76">
        <v>0</v>
      </c>
      <c r="L76">
        <v>-0.88600000000000001</v>
      </c>
      <c r="M76">
        <v>-1.1819999999999999</v>
      </c>
      <c r="N76">
        <v>-0.88600000000000001</v>
      </c>
      <c r="O76">
        <v>-1.1819999999999999</v>
      </c>
    </row>
    <row r="77" spans="1:15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 t="s">
        <v>14</v>
      </c>
      <c r="I77">
        <v>-1.45</v>
      </c>
      <c r="J77">
        <v>-1.65</v>
      </c>
      <c r="K77">
        <v>0</v>
      </c>
      <c r="L77">
        <v>-0.93300000000000005</v>
      </c>
      <c r="M77">
        <v>-1.1859999999999999</v>
      </c>
      <c r="N77">
        <v>-0.93300000000000005</v>
      </c>
      <c r="O77">
        <v>-1.1859999999999999</v>
      </c>
    </row>
    <row r="78" spans="1:15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 t="s">
        <v>14</v>
      </c>
      <c r="I78">
        <v>-1.45</v>
      </c>
      <c r="J78">
        <v>-1.65</v>
      </c>
      <c r="K78">
        <v>0</v>
      </c>
      <c r="L78">
        <v>-1.2070000000000001</v>
      </c>
      <c r="M78">
        <v>-1.3720000000000001</v>
      </c>
      <c r="N78">
        <v>-1.2070000000000001</v>
      </c>
      <c r="O78">
        <v>-1.3720000000000001</v>
      </c>
    </row>
    <row r="79" spans="1:15" x14ac:dyDescent="0.2">
      <c r="A79">
        <v>1</v>
      </c>
      <c r="B79" s="3">
        <v>129709.5</v>
      </c>
      <c r="C79" s="3">
        <v>475363.5</v>
      </c>
      <c r="D79">
        <v>4</v>
      </c>
      <c r="E79">
        <v>48.5</v>
      </c>
      <c r="F79" s="3">
        <v>129709.5</v>
      </c>
      <c r="G79" s="3">
        <v>475363.5</v>
      </c>
      <c r="H79" t="s">
        <v>5</v>
      </c>
      <c r="I79">
        <v>-0.4</v>
      </c>
      <c r="J79">
        <v>-0.4</v>
      </c>
      <c r="K79">
        <v>0</v>
      </c>
      <c r="L79">
        <v>0</v>
      </c>
      <c r="M79">
        <v>-1.3220000000000001</v>
      </c>
      <c r="N79">
        <v>0</v>
      </c>
      <c r="O79">
        <v>-1.3220000000000001</v>
      </c>
    </row>
    <row r="80" spans="1:15" x14ac:dyDescent="0.2">
      <c r="A80">
        <v>2</v>
      </c>
      <c r="B80" s="3">
        <v>129824.5</v>
      </c>
      <c r="C80" s="3">
        <v>475375.5</v>
      </c>
      <c r="D80">
        <v>4</v>
      </c>
      <c r="E80">
        <v>51.5</v>
      </c>
      <c r="F80" s="3">
        <v>129824.5</v>
      </c>
      <c r="G80" s="3">
        <v>475375.5</v>
      </c>
      <c r="H80" t="s">
        <v>14</v>
      </c>
      <c r="I80">
        <v>-2.2999999999999998</v>
      </c>
      <c r="J80">
        <v>-2.2999999999999998</v>
      </c>
      <c r="K80">
        <v>0</v>
      </c>
      <c r="L80">
        <v>0</v>
      </c>
      <c r="M80">
        <v>-1.3759999999999999</v>
      </c>
      <c r="N80">
        <v>0</v>
      </c>
      <c r="O80">
        <v>-1.3759999999999999</v>
      </c>
    </row>
    <row r="81" spans="1:15" x14ac:dyDescent="0.2">
      <c r="A81">
        <v>3</v>
      </c>
      <c r="B81" s="3">
        <v>129798.5</v>
      </c>
      <c r="C81" s="3">
        <v>475375.5</v>
      </c>
      <c r="D81">
        <v>4</v>
      </c>
      <c r="E81">
        <v>48.5</v>
      </c>
      <c r="F81" s="3">
        <v>129798.5</v>
      </c>
      <c r="G81" s="3">
        <v>475375.5</v>
      </c>
      <c r="H81" t="s">
        <v>14</v>
      </c>
      <c r="I81">
        <v>-0.4</v>
      </c>
      <c r="J81">
        <v>-0.4</v>
      </c>
      <c r="K81">
        <v>0</v>
      </c>
      <c r="L81">
        <v>0</v>
      </c>
      <c r="M81">
        <v>-1.1439999999999999</v>
      </c>
      <c r="N81">
        <v>0</v>
      </c>
      <c r="O81">
        <v>-1.1439999999999999</v>
      </c>
    </row>
    <row r="82" spans="1:15" x14ac:dyDescent="0.2">
      <c r="A82">
        <v>4</v>
      </c>
      <c r="B82" s="3">
        <v>129629.5</v>
      </c>
      <c r="C82" s="3">
        <v>474900.5</v>
      </c>
      <c r="D82">
        <v>5</v>
      </c>
      <c r="E82">
        <v>48.5</v>
      </c>
      <c r="F82" s="3">
        <v>129629.5</v>
      </c>
      <c r="G82" s="3">
        <v>474900.5</v>
      </c>
      <c r="H82" t="s">
        <v>5</v>
      </c>
      <c r="I82">
        <v>-0.4</v>
      </c>
      <c r="J82">
        <v>-0.4</v>
      </c>
      <c r="K82">
        <v>0</v>
      </c>
      <c r="L82">
        <v>0</v>
      </c>
      <c r="M82">
        <v>-1.403</v>
      </c>
      <c r="N82">
        <v>0</v>
      </c>
      <c r="O82">
        <v>-1.403</v>
      </c>
    </row>
    <row r="83" spans="1:15" x14ac:dyDescent="0.2">
      <c r="A83">
        <v>5</v>
      </c>
      <c r="B83" s="3">
        <v>129720.5</v>
      </c>
      <c r="C83" s="3">
        <v>474901.5</v>
      </c>
      <c r="D83">
        <v>5</v>
      </c>
      <c r="E83">
        <v>48.5</v>
      </c>
      <c r="F83" s="3">
        <v>129720.5</v>
      </c>
      <c r="G83" s="3">
        <v>474901.5</v>
      </c>
      <c r="H83" t="s">
        <v>14</v>
      </c>
      <c r="I83">
        <v>-0.4</v>
      </c>
      <c r="J83">
        <v>-0.4</v>
      </c>
      <c r="K83">
        <v>0</v>
      </c>
      <c r="L83">
        <v>0</v>
      </c>
      <c r="M83">
        <v>-1.3819999999999999</v>
      </c>
      <c r="N83">
        <v>0</v>
      </c>
      <c r="O83">
        <v>-1.3819999999999999</v>
      </c>
    </row>
    <row r="84" spans="1:15" x14ac:dyDescent="0.2">
      <c r="A84">
        <v>6</v>
      </c>
      <c r="B84" s="3">
        <v>129720.5</v>
      </c>
      <c r="C84" s="3">
        <v>472009.5</v>
      </c>
      <c r="D84">
        <v>5</v>
      </c>
      <c r="E84">
        <v>51.5</v>
      </c>
      <c r="F84" s="3">
        <v>129720.5</v>
      </c>
      <c r="G84" s="3">
        <v>472009.5</v>
      </c>
      <c r="H84" t="s">
        <v>14</v>
      </c>
      <c r="I84">
        <v>-2.2999999999999998</v>
      </c>
      <c r="J84">
        <v>-2.2999999999999998</v>
      </c>
      <c r="K84">
        <v>0</v>
      </c>
      <c r="L84">
        <v>0</v>
      </c>
      <c r="M84">
        <v>-1.502</v>
      </c>
      <c r="N84">
        <v>0</v>
      </c>
      <c r="O84">
        <v>-1.502</v>
      </c>
    </row>
    <row r="85" spans="1:15" x14ac:dyDescent="0.2">
      <c r="A85">
        <v>7</v>
      </c>
      <c r="B85" s="3">
        <v>129129.5</v>
      </c>
      <c r="C85" s="3">
        <v>471968.5</v>
      </c>
      <c r="D85">
        <v>9</v>
      </c>
      <c r="E85">
        <v>48.5</v>
      </c>
      <c r="F85" s="3">
        <v>129129.5</v>
      </c>
      <c r="G85" s="3">
        <v>471968.5</v>
      </c>
      <c r="H85" t="s">
        <v>5</v>
      </c>
      <c r="I85">
        <v>-0.4</v>
      </c>
      <c r="J85">
        <v>-0.4</v>
      </c>
      <c r="K85">
        <v>0</v>
      </c>
      <c r="L85">
        <v>0</v>
      </c>
      <c r="M85">
        <v>-1.4890000000000001</v>
      </c>
      <c r="N85">
        <v>0</v>
      </c>
      <c r="O85">
        <v>-1.4890000000000001</v>
      </c>
    </row>
    <row r="86" spans="1:15" x14ac:dyDescent="0.2">
      <c r="A86">
        <v>8</v>
      </c>
      <c r="B86" s="3">
        <v>129212.5</v>
      </c>
      <c r="C86" s="3">
        <v>471972.5</v>
      </c>
      <c r="D86">
        <v>9</v>
      </c>
      <c r="E86">
        <v>51.5</v>
      </c>
      <c r="F86" s="3">
        <v>129212.5</v>
      </c>
      <c r="G86" s="3">
        <v>471972.5</v>
      </c>
      <c r="H86" t="s">
        <v>14</v>
      </c>
      <c r="I86">
        <v>-2.25</v>
      </c>
      <c r="J86">
        <v>-2.25</v>
      </c>
      <c r="K86">
        <v>0</v>
      </c>
      <c r="L86">
        <v>0</v>
      </c>
      <c r="M86">
        <v>-1.5649999999999999</v>
      </c>
      <c r="N86">
        <v>0</v>
      </c>
      <c r="O86">
        <v>-1.5649999999999999</v>
      </c>
    </row>
    <row r="87" spans="1:15" x14ac:dyDescent="0.2">
      <c r="A87">
        <v>9</v>
      </c>
      <c r="B87" s="3">
        <v>129244.5</v>
      </c>
      <c r="C87" s="3">
        <v>471974.5</v>
      </c>
      <c r="D87">
        <v>9</v>
      </c>
      <c r="E87">
        <v>48.5</v>
      </c>
      <c r="F87" s="3">
        <v>129244.5</v>
      </c>
      <c r="G87" s="3">
        <v>471974.5</v>
      </c>
      <c r="H87" t="s">
        <v>14</v>
      </c>
      <c r="I87">
        <v>-0.4</v>
      </c>
      <c r="J87">
        <v>-0.4</v>
      </c>
      <c r="K87">
        <v>0</v>
      </c>
      <c r="L87">
        <v>0</v>
      </c>
      <c r="M87">
        <v>-1.4810000000000001</v>
      </c>
      <c r="N87">
        <v>0</v>
      </c>
      <c r="O87">
        <v>-1.4810000000000001</v>
      </c>
    </row>
    <row r="88" spans="1:15" x14ac:dyDescent="0.2">
      <c r="A88">
        <v>10</v>
      </c>
      <c r="B88" s="3">
        <v>128657.5</v>
      </c>
      <c r="C88" s="3">
        <v>469338.5</v>
      </c>
      <c r="D88">
        <v>11</v>
      </c>
      <c r="E88">
        <v>48.5</v>
      </c>
      <c r="F88" s="3">
        <v>128657.5</v>
      </c>
      <c r="G88" s="3">
        <v>469338.5</v>
      </c>
      <c r="H88" t="s">
        <v>5</v>
      </c>
      <c r="I88">
        <v>-0.4</v>
      </c>
      <c r="J88">
        <v>-0.4</v>
      </c>
      <c r="K88">
        <v>0</v>
      </c>
      <c r="L88">
        <v>0</v>
      </c>
      <c r="M88">
        <v>-1.5589999999999999</v>
      </c>
      <c r="N88">
        <v>0</v>
      </c>
      <c r="O88">
        <v>-1.5589999999999999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21B4-ED8E-434B-9DEE-2C2B14F64426}">
  <dimension ref="A1:G67"/>
  <sheetViews>
    <sheetView workbookViewId="0">
      <selection activeCell="E5" sqref="E5"/>
    </sheetView>
  </sheetViews>
  <sheetFormatPr baseColWidth="10" defaultRowHeight="16" x14ac:dyDescent="0.2"/>
  <sheetData>
    <row r="1" spans="1:7" x14ac:dyDescent="0.2">
      <c r="A1" t="s">
        <v>19</v>
      </c>
      <c r="B1" s="2">
        <v>45682</v>
      </c>
      <c r="C1" s="2">
        <v>45870</v>
      </c>
      <c r="D1" s="2">
        <v>46054</v>
      </c>
      <c r="G1">
        <v>-1.3220000000000001</v>
      </c>
    </row>
    <row r="2" spans="1:7" x14ac:dyDescent="0.2">
      <c r="A2" t="s">
        <v>20</v>
      </c>
      <c r="B2" s="2">
        <v>45682</v>
      </c>
      <c r="C2" s="2">
        <v>45870</v>
      </c>
      <c r="D2" s="2">
        <v>46054</v>
      </c>
      <c r="G2">
        <v>-1.3759999999999999</v>
      </c>
    </row>
    <row r="3" spans="1:7" x14ac:dyDescent="0.2">
      <c r="A3" t="s">
        <v>21</v>
      </c>
      <c r="B3" s="2">
        <v>45682</v>
      </c>
      <c r="C3" s="2">
        <v>45870</v>
      </c>
      <c r="D3" s="2">
        <v>46054</v>
      </c>
      <c r="G3">
        <v>-1.1439999999999999</v>
      </c>
    </row>
    <row r="4" spans="1:7" x14ac:dyDescent="0.2">
      <c r="A4" t="s">
        <v>22</v>
      </c>
      <c r="B4" s="2">
        <v>45682</v>
      </c>
      <c r="C4" s="2">
        <v>45870</v>
      </c>
      <c r="D4" s="2">
        <v>46054</v>
      </c>
      <c r="G4">
        <v>-1.403</v>
      </c>
    </row>
    <row r="5" spans="1:7" x14ac:dyDescent="0.2">
      <c r="A5" t="s">
        <v>23</v>
      </c>
      <c r="B5" s="2">
        <v>45682</v>
      </c>
      <c r="C5" s="2">
        <v>45870</v>
      </c>
      <c r="D5" s="2">
        <v>46054</v>
      </c>
      <c r="G5">
        <v>-1.3819999999999999</v>
      </c>
    </row>
    <row r="6" spans="1:7" x14ac:dyDescent="0.2">
      <c r="A6" t="s">
        <v>24</v>
      </c>
      <c r="B6" s="2">
        <v>45682</v>
      </c>
      <c r="C6" s="2">
        <v>45870</v>
      </c>
      <c r="D6" s="2">
        <v>46054</v>
      </c>
      <c r="G6">
        <v>-1.502</v>
      </c>
    </row>
    <row r="7" spans="1:7" x14ac:dyDescent="0.2">
      <c r="A7" t="s">
        <v>25</v>
      </c>
      <c r="B7" s="2">
        <v>45682</v>
      </c>
      <c r="C7" s="2">
        <v>45870</v>
      </c>
      <c r="D7" s="2">
        <v>46054</v>
      </c>
      <c r="G7">
        <v>-1.4890000000000001</v>
      </c>
    </row>
    <row r="8" spans="1:7" x14ac:dyDescent="0.2">
      <c r="A8" t="s">
        <v>26</v>
      </c>
      <c r="B8" s="2">
        <v>45682</v>
      </c>
      <c r="C8" s="2">
        <v>45870</v>
      </c>
      <c r="D8" s="2">
        <v>46054</v>
      </c>
      <c r="G8">
        <v>-1.5649999999999999</v>
      </c>
    </row>
    <row r="9" spans="1:7" x14ac:dyDescent="0.2">
      <c r="A9" t="s">
        <v>27</v>
      </c>
      <c r="B9" s="2">
        <v>45682</v>
      </c>
      <c r="C9" s="2">
        <v>45870</v>
      </c>
      <c r="D9" s="2">
        <v>46054</v>
      </c>
      <c r="G9">
        <v>-1.4810000000000001</v>
      </c>
    </row>
    <row r="10" spans="1:7" x14ac:dyDescent="0.2">
      <c r="A10" t="s">
        <v>87</v>
      </c>
      <c r="B10" s="2">
        <v>45682</v>
      </c>
      <c r="C10" s="2">
        <v>45870</v>
      </c>
      <c r="D10" s="2">
        <v>46054</v>
      </c>
      <c r="G10">
        <v>-1.5589999999999999</v>
      </c>
    </row>
    <row r="11" spans="1:7" x14ac:dyDescent="0.2">
      <c r="A11" t="s">
        <v>28</v>
      </c>
      <c r="B11" s="2">
        <v>45682</v>
      </c>
      <c r="C11" s="2">
        <v>45870</v>
      </c>
      <c r="D11" s="2">
        <v>46054</v>
      </c>
      <c r="F11">
        <v>-1.6919999999999999</v>
      </c>
      <c r="G11">
        <v>-1.78</v>
      </c>
    </row>
    <row r="12" spans="1:7" x14ac:dyDescent="0.2">
      <c r="A12" t="s">
        <v>29</v>
      </c>
      <c r="B12" s="2">
        <v>45682</v>
      </c>
      <c r="C12" s="2">
        <v>45870</v>
      </c>
      <c r="D12" s="2">
        <v>46054</v>
      </c>
      <c r="F12">
        <v>-1.7390000000000001</v>
      </c>
      <c r="G12">
        <v>-1.841</v>
      </c>
    </row>
    <row r="13" spans="1:7" x14ac:dyDescent="0.2">
      <c r="A13" t="s">
        <v>30</v>
      </c>
      <c r="B13" s="2">
        <v>45682</v>
      </c>
      <c r="C13" s="2">
        <v>45870</v>
      </c>
      <c r="D13" s="2">
        <v>46054</v>
      </c>
      <c r="F13">
        <v>-1.4810000000000001</v>
      </c>
      <c r="G13">
        <v>-1.6839999999999999</v>
      </c>
    </row>
    <row r="14" spans="1:7" x14ac:dyDescent="0.2">
      <c r="A14" t="s">
        <v>31</v>
      </c>
      <c r="B14" s="2">
        <v>45682</v>
      </c>
      <c r="C14" s="2">
        <v>45870</v>
      </c>
      <c r="D14" s="2">
        <v>46054</v>
      </c>
      <c r="F14">
        <v>-1.49</v>
      </c>
      <c r="G14">
        <v>-1.7</v>
      </c>
    </row>
    <row r="15" spans="1:7" x14ac:dyDescent="0.2">
      <c r="A15" t="s">
        <v>32</v>
      </c>
      <c r="B15" s="2">
        <v>45682</v>
      </c>
      <c r="C15" s="2">
        <v>45870</v>
      </c>
      <c r="D15" s="2">
        <v>46054</v>
      </c>
      <c r="G15">
        <v>-1.6539999999999999</v>
      </c>
    </row>
    <row r="16" spans="1:7" x14ac:dyDescent="0.2">
      <c r="A16" t="s">
        <v>33</v>
      </c>
      <c r="B16" s="2">
        <v>45682</v>
      </c>
      <c r="C16" s="2">
        <v>45870</v>
      </c>
      <c r="D16" s="2">
        <v>46054</v>
      </c>
      <c r="F16">
        <v>-1.2350000000000001</v>
      </c>
      <c r="G16">
        <v>-1.556</v>
      </c>
    </row>
    <row r="17" spans="1:7" x14ac:dyDescent="0.2">
      <c r="A17" t="s">
        <v>34</v>
      </c>
      <c r="B17" s="2">
        <v>45682</v>
      </c>
      <c r="C17" s="2">
        <v>45870</v>
      </c>
      <c r="D17" s="2">
        <v>46054</v>
      </c>
      <c r="F17">
        <v>-1.1160000000000001</v>
      </c>
    </row>
    <row r="18" spans="1:7" x14ac:dyDescent="0.2">
      <c r="A18" t="s">
        <v>35</v>
      </c>
      <c r="B18" s="2">
        <v>45682</v>
      </c>
      <c r="C18" s="2">
        <v>45870</v>
      </c>
      <c r="D18" s="2">
        <v>46054</v>
      </c>
      <c r="F18">
        <v>-1.262</v>
      </c>
    </row>
    <row r="19" spans="1:7" x14ac:dyDescent="0.2">
      <c r="A19" t="s">
        <v>36</v>
      </c>
      <c r="B19" s="2">
        <v>45682</v>
      </c>
      <c r="C19" s="2">
        <v>45870</v>
      </c>
      <c r="D19" s="2">
        <v>46054</v>
      </c>
    </row>
    <row r="20" spans="1:7" x14ac:dyDescent="0.2">
      <c r="A20" t="s">
        <v>37</v>
      </c>
      <c r="B20" s="2">
        <v>45682</v>
      </c>
      <c r="C20" s="2">
        <v>45870</v>
      </c>
      <c r="D20" s="2">
        <v>46054</v>
      </c>
      <c r="F20">
        <v>-0.998</v>
      </c>
      <c r="G20">
        <v>-1.49</v>
      </c>
    </row>
    <row r="21" spans="1:7" x14ac:dyDescent="0.2">
      <c r="A21" t="s">
        <v>38</v>
      </c>
      <c r="B21" s="2">
        <v>45682</v>
      </c>
      <c r="C21" s="2">
        <v>45870</v>
      </c>
      <c r="D21" s="2">
        <v>46054</v>
      </c>
      <c r="E21">
        <v>-1.571</v>
      </c>
      <c r="F21">
        <v>-1.1040000000000001</v>
      </c>
      <c r="G21">
        <v>-1.542</v>
      </c>
    </row>
    <row r="22" spans="1:7" x14ac:dyDescent="0.2">
      <c r="A22" t="s">
        <v>39</v>
      </c>
      <c r="B22" s="2">
        <v>45682</v>
      </c>
      <c r="C22" s="2">
        <v>45870</v>
      </c>
      <c r="D22" s="2">
        <v>46054</v>
      </c>
      <c r="E22">
        <v>-1.6220000000000001</v>
      </c>
      <c r="F22">
        <v>-1.399</v>
      </c>
      <c r="G22">
        <v>-1.6220000000000001</v>
      </c>
    </row>
    <row r="23" spans="1:7" x14ac:dyDescent="0.2">
      <c r="A23" t="s">
        <v>40</v>
      </c>
      <c r="B23" s="2">
        <v>45682</v>
      </c>
      <c r="C23" s="2">
        <v>45870</v>
      </c>
      <c r="D23" s="2">
        <v>46054</v>
      </c>
      <c r="E23">
        <v>-1.66</v>
      </c>
      <c r="F23">
        <v>-1.4470000000000001</v>
      </c>
      <c r="G23">
        <v>-1.66</v>
      </c>
    </row>
    <row r="24" spans="1:7" x14ac:dyDescent="0.2">
      <c r="A24" t="s">
        <v>41</v>
      </c>
      <c r="B24" s="2">
        <v>45682</v>
      </c>
      <c r="C24" s="2">
        <v>45870</v>
      </c>
      <c r="D24" s="2">
        <v>46054</v>
      </c>
      <c r="E24">
        <v>-1.669</v>
      </c>
      <c r="F24">
        <v>-1.472</v>
      </c>
      <c r="G24">
        <v>-1.669</v>
      </c>
    </row>
    <row r="25" spans="1:7" x14ac:dyDescent="0.2">
      <c r="A25" t="s">
        <v>42</v>
      </c>
      <c r="B25" s="2">
        <v>45682</v>
      </c>
      <c r="C25" s="2">
        <v>45870</v>
      </c>
      <c r="D25" s="2">
        <v>46054</v>
      </c>
      <c r="E25">
        <v>-1.738</v>
      </c>
      <c r="F25">
        <v>-1.542</v>
      </c>
      <c r="G25">
        <v>-1.734</v>
      </c>
    </row>
    <row r="26" spans="1:7" x14ac:dyDescent="0.2">
      <c r="A26" t="s">
        <v>43</v>
      </c>
      <c r="B26" s="2">
        <v>45682</v>
      </c>
      <c r="C26" s="2">
        <v>45870</v>
      </c>
      <c r="D26" s="2">
        <v>46054</v>
      </c>
      <c r="G26">
        <v>-1.5529999999999999</v>
      </c>
    </row>
    <row r="27" spans="1:7" x14ac:dyDescent="0.2">
      <c r="A27" t="s">
        <v>44</v>
      </c>
      <c r="B27" s="2">
        <v>45682</v>
      </c>
      <c r="C27" s="2">
        <v>45870</v>
      </c>
      <c r="D27" s="2">
        <v>46054</v>
      </c>
      <c r="E27">
        <v>-1.6359999999999999</v>
      </c>
      <c r="F27">
        <v>-1.2849999999999999</v>
      </c>
      <c r="G27">
        <v>-1.6220000000000001</v>
      </c>
    </row>
    <row r="28" spans="1:7" x14ac:dyDescent="0.2">
      <c r="A28" t="s">
        <v>45</v>
      </c>
      <c r="B28" s="2">
        <v>45682</v>
      </c>
      <c r="C28" s="2">
        <v>45870</v>
      </c>
      <c r="D28" s="2">
        <v>46054</v>
      </c>
      <c r="E28">
        <v>-1.5740000000000001</v>
      </c>
      <c r="F28">
        <v>-1.0680000000000001</v>
      </c>
    </row>
    <row r="29" spans="1:7" x14ac:dyDescent="0.2">
      <c r="A29" t="s">
        <v>46</v>
      </c>
      <c r="B29" s="2">
        <v>45682</v>
      </c>
      <c r="C29" s="2">
        <v>45870</v>
      </c>
      <c r="D29" s="2">
        <v>46054</v>
      </c>
      <c r="E29">
        <v>-1.819</v>
      </c>
      <c r="F29">
        <v>-1.538</v>
      </c>
      <c r="G29">
        <v>-1.821</v>
      </c>
    </row>
    <row r="30" spans="1:7" x14ac:dyDescent="0.2">
      <c r="A30" t="s">
        <v>47</v>
      </c>
      <c r="B30" s="2">
        <v>45682</v>
      </c>
      <c r="C30" s="2">
        <v>45870</v>
      </c>
      <c r="D30" s="2">
        <v>46054</v>
      </c>
      <c r="G30">
        <v>-1.8080000000000001</v>
      </c>
    </row>
    <row r="31" spans="1:7" x14ac:dyDescent="0.2">
      <c r="A31" t="s">
        <v>48</v>
      </c>
      <c r="B31" s="2">
        <v>45682</v>
      </c>
      <c r="C31" s="2">
        <v>45870</v>
      </c>
      <c r="D31" s="2">
        <v>46054</v>
      </c>
      <c r="E31">
        <v>-1.708</v>
      </c>
      <c r="F31">
        <v>-1.5189999999999999</v>
      </c>
      <c r="G31">
        <v>-1.7</v>
      </c>
    </row>
    <row r="32" spans="1:7" x14ac:dyDescent="0.2">
      <c r="A32" t="s">
        <v>49</v>
      </c>
      <c r="B32" s="2">
        <v>45682</v>
      </c>
      <c r="C32" s="2">
        <v>45870</v>
      </c>
      <c r="D32" s="2">
        <v>46054</v>
      </c>
      <c r="E32">
        <v>-1.698</v>
      </c>
      <c r="F32">
        <v>-1.506</v>
      </c>
      <c r="G32">
        <v>-1.698</v>
      </c>
    </row>
    <row r="33" spans="1:7" x14ac:dyDescent="0.2">
      <c r="A33" t="s">
        <v>50</v>
      </c>
      <c r="B33" s="2">
        <v>45682</v>
      </c>
      <c r="C33" s="2">
        <v>45870</v>
      </c>
      <c r="D33" s="2">
        <v>46054</v>
      </c>
      <c r="F33">
        <v>-1.5580000000000001</v>
      </c>
      <c r="G33">
        <v>-1.698</v>
      </c>
    </row>
    <row r="34" spans="1:7" x14ac:dyDescent="0.2">
      <c r="A34" t="s">
        <v>51</v>
      </c>
      <c r="B34" s="2">
        <v>45682</v>
      </c>
      <c r="C34" s="2">
        <v>45870</v>
      </c>
      <c r="D34" s="2">
        <v>46054</v>
      </c>
      <c r="F34">
        <v>-1.415</v>
      </c>
      <c r="G34">
        <v>-1.6359999999999999</v>
      </c>
    </row>
    <row r="35" spans="1:7" x14ac:dyDescent="0.2">
      <c r="A35" t="s">
        <v>52</v>
      </c>
      <c r="B35" s="2">
        <v>45682</v>
      </c>
      <c r="C35" s="2">
        <v>45870</v>
      </c>
      <c r="D35" s="2">
        <v>46054</v>
      </c>
      <c r="F35">
        <v>-1.196</v>
      </c>
      <c r="G35">
        <v>-1.4850000000000001</v>
      </c>
    </row>
    <row r="36" spans="1:7" x14ac:dyDescent="0.2">
      <c r="A36" t="s">
        <v>53</v>
      </c>
      <c r="B36" s="2">
        <v>45682</v>
      </c>
      <c r="C36" s="2">
        <v>45870</v>
      </c>
      <c r="D36" s="2">
        <v>46054</v>
      </c>
      <c r="F36">
        <v>-1.3740000000000001</v>
      </c>
      <c r="G36">
        <v>-1.6</v>
      </c>
    </row>
    <row r="37" spans="1:7" x14ac:dyDescent="0.2">
      <c r="A37" t="s">
        <v>54</v>
      </c>
      <c r="B37" s="2">
        <v>45682</v>
      </c>
      <c r="C37" s="2">
        <v>45870</v>
      </c>
      <c r="D37" s="2">
        <v>46054</v>
      </c>
      <c r="G37">
        <v>-1.6060000000000001</v>
      </c>
    </row>
    <row r="38" spans="1:7" x14ac:dyDescent="0.2">
      <c r="A38" t="s">
        <v>55</v>
      </c>
      <c r="B38" s="2">
        <v>45682</v>
      </c>
      <c r="C38" s="2">
        <v>45870</v>
      </c>
      <c r="D38" s="2">
        <v>46054</v>
      </c>
      <c r="F38">
        <v>-1.6120000000000001</v>
      </c>
      <c r="G38">
        <v>-1.7130000000000001</v>
      </c>
    </row>
    <row r="39" spans="1:7" x14ac:dyDescent="0.2">
      <c r="A39" t="s">
        <v>56</v>
      </c>
      <c r="B39" s="2">
        <v>45682</v>
      </c>
      <c r="C39" s="2">
        <v>45870</v>
      </c>
      <c r="D39" s="2">
        <v>46054</v>
      </c>
      <c r="F39">
        <v>-1.036</v>
      </c>
      <c r="G39">
        <v>-1.4239999999999999</v>
      </c>
    </row>
    <row r="40" spans="1:7" x14ac:dyDescent="0.2">
      <c r="A40" t="s">
        <v>57</v>
      </c>
      <c r="B40" s="2">
        <v>45682</v>
      </c>
      <c r="C40" s="2">
        <v>45870</v>
      </c>
      <c r="D40" s="2">
        <v>46054</v>
      </c>
      <c r="G40">
        <v>-1.3939999999999999</v>
      </c>
    </row>
    <row r="41" spans="1:7" x14ac:dyDescent="0.2">
      <c r="A41" t="s">
        <v>58</v>
      </c>
      <c r="B41" s="2">
        <v>45682</v>
      </c>
      <c r="C41" s="2">
        <v>45870</v>
      </c>
      <c r="D41" s="2">
        <v>46054</v>
      </c>
      <c r="F41">
        <v>-2.472</v>
      </c>
      <c r="G41">
        <v>-2.6360000000000001</v>
      </c>
    </row>
    <row r="42" spans="1:7" x14ac:dyDescent="0.2">
      <c r="A42" t="s">
        <v>59</v>
      </c>
      <c r="B42" s="2">
        <v>45682</v>
      </c>
      <c r="C42" s="2">
        <v>45870</v>
      </c>
      <c r="D42" s="2">
        <v>46054</v>
      </c>
      <c r="F42">
        <v>-1.341</v>
      </c>
      <c r="G42">
        <v>-1.524</v>
      </c>
    </row>
    <row r="43" spans="1:7" x14ac:dyDescent="0.2">
      <c r="A43" t="s">
        <v>60</v>
      </c>
      <c r="B43" s="2">
        <v>45682</v>
      </c>
      <c r="C43" s="2">
        <v>45870</v>
      </c>
      <c r="D43" s="2">
        <v>46054</v>
      </c>
      <c r="G43">
        <v>-1.5209999999999999</v>
      </c>
    </row>
    <row r="44" spans="1:7" x14ac:dyDescent="0.2">
      <c r="A44" t="s">
        <v>61</v>
      </c>
      <c r="B44" s="2">
        <v>45682</v>
      </c>
      <c r="C44" s="2">
        <v>45870</v>
      </c>
      <c r="D44" s="2">
        <v>46054</v>
      </c>
      <c r="F44">
        <v>-1.395</v>
      </c>
      <c r="G44">
        <v>-1.5509999999999999</v>
      </c>
    </row>
    <row r="45" spans="1:7" x14ac:dyDescent="0.2">
      <c r="A45" t="s">
        <v>62</v>
      </c>
      <c r="B45" s="2">
        <v>45682</v>
      </c>
      <c r="C45" s="2">
        <v>45870</v>
      </c>
      <c r="D45" s="2">
        <v>46054</v>
      </c>
      <c r="F45">
        <v>-1.325</v>
      </c>
      <c r="G45">
        <v>-1.5309999999999999</v>
      </c>
    </row>
    <row r="46" spans="1:7" x14ac:dyDescent="0.2">
      <c r="A46" t="s">
        <v>63</v>
      </c>
      <c r="B46" s="2">
        <v>45682</v>
      </c>
      <c r="C46" s="2">
        <v>45870</v>
      </c>
      <c r="D46" s="2">
        <v>46054</v>
      </c>
      <c r="F46">
        <v>-1.331</v>
      </c>
      <c r="G46">
        <v>-1.5129999999999999</v>
      </c>
    </row>
    <row r="47" spans="1:7" x14ac:dyDescent="0.2">
      <c r="A47" t="s">
        <v>64</v>
      </c>
      <c r="B47" s="2">
        <v>45682</v>
      </c>
      <c r="C47" s="2">
        <v>45870</v>
      </c>
      <c r="D47" s="2">
        <v>46054</v>
      </c>
      <c r="F47">
        <v>-1.321</v>
      </c>
      <c r="G47">
        <v>-1.474</v>
      </c>
    </row>
    <row r="48" spans="1:7" x14ac:dyDescent="0.2">
      <c r="A48" t="s">
        <v>65</v>
      </c>
      <c r="B48" s="2">
        <v>45682</v>
      </c>
      <c r="C48" s="2">
        <v>45870</v>
      </c>
      <c r="D48" s="2">
        <v>46054</v>
      </c>
      <c r="F48">
        <v>-1.3140000000000001</v>
      </c>
      <c r="G48">
        <v>-1.446</v>
      </c>
    </row>
    <row r="49" spans="1:7" x14ac:dyDescent="0.2">
      <c r="A49" t="s">
        <v>66</v>
      </c>
      <c r="B49" s="2">
        <v>45682</v>
      </c>
      <c r="C49" s="2">
        <v>45870</v>
      </c>
      <c r="D49" s="2">
        <v>46054</v>
      </c>
      <c r="F49">
        <v>-1.5640000000000001</v>
      </c>
      <c r="G49">
        <v>-1.6919999999999999</v>
      </c>
    </row>
    <row r="50" spans="1:7" x14ac:dyDescent="0.2">
      <c r="A50" t="s">
        <v>67</v>
      </c>
      <c r="B50" s="2">
        <v>45682</v>
      </c>
      <c r="C50" s="2">
        <v>45870</v>
      </c>
      <c r="D50" s="2">
        <v>46054</v>
      </c>
      <c r="F50">
        <v>-1.3580000000000001</v>
      </c>
      <c r="G50">
        <v>-1.5149999999999999</v>
      </c>
    </row>
    <row r="51" spans="1:7" x14ac:dyDescent="0.2">
      <c r="A51" t="s">
        <v>68</v>
      </c>
      <c r="B51" s="2">
        <v>45682</v>
      </c>
      <c r="C51" s="2">
        <v>45870</v>
      </c>
      <c r="D51" s="2">
        <v>46054</v>
      </c>
      <c r="F51">
        <v>-1.1930000000000001</v>
      </c>
      <c r="G51">
        <v>-1.423</v>
      </c>
    </row>
    <row r="52" spans="1:7" x14ac:dyDescent="0.2">
      <c r="A52" t="s">
        <v>69</v>
      </c>
      <c r="B52" s="2">
        <v>45682</v>
      </c>
      <c r="C52" s="2">
        <v>45870</v>
      </c>
      <c r="D52" s="2">
        <v>46054</v>
      </c>
      <c r="F52">
        <v>-0.89500000000000002</v>
      </c>
      <c r="G52">
        <v>-1.17</v>
      </c>
    </row>
    <row r="53" spans="1:7" x14ac:dyDescent="0.2">
      <c r="A53" t="s">
        <v>70</v>
      </c>
      <c r="B53" s="2">
        <v>45682</v>
      </c>
      <c r="C53" s="2">
        <v>45870</v>
      </c>
      <c r="D53" s="2">
        <v>46054</v>
      </c>
      <c r="F53">
        <v>-1.1759999999999999</v>
      </c>
      <c r="G53">
        <v>-1.3220000000000001</v>
      </c>
    </row>
    <row r="54" spans="1:7" x14ac:dyDescent="0.2">
      <c r="A54" t="s">
        <v>71</v>
      </c>
      <c r="B54" s="2">
        <v>45682</v>
      </c>
      <c r="C54" s="2">
        <v>45870</v>
      </c>
      <c r="D54" s="2">
        <v>46054</v>
      </c>
      <c r="E54">
        <v>-1.901</v>
      </c>
      <c r="F54">
        <v>-1.911</v>
      </c>
      <c r="G54">
        <v>-1.92</v>
      </c>
    </row>
    <row r="55" spans="1:7" x14ac:dyDescent="0.2">
      <c r="A55" t="s">
        <v>72</v>
      </c>
      <c r="B55" s="2">
        <v>45682</v>
      </c>
      <c r="C55" s="2">
        <v>45870</v>
      </c>
      <c r="D55" s="2">
        <v>46054</v>
      </c>
      <c r="E55">
        <v>-1.8819999999999999</v>
      </c>
      <c r="F55">
        <v>-1.8859999999999999</v>
      </c>
      <c r="G55">
        <v>-1.903</v>
      </c>
    </row>
    <row r="56" spans="1:7" x14ac:dyDescent="0.2">
      <c r="A56" t="s">
        <v>73</v>
      </c>
      <c r="B56" s="2">
        <v>45682</v>
      </c>
      <c r="C56" s="2">
        <v>45870</v>
      </c>
      <c r="D56" s="2">
        <v>46054</v>
      </c>
      <c r="E56">
        <v>-1.7509999999999999</v>
      </c>
      <c r="F56">
        <v>-1.714</v>
      </c>
      <c r="G56">
        <v>-1.7649999999999999</v>
      </c>
    </row>
    <row r="57" spans="1:7" x14ac:dyDescent="0.2">
      <c r="A57" t="s">
        <v>74</v>
      </c>
      <c r="B57" s="2">
        <v>45682</v>
      </c>
      <c r="C57" s="2">
        <v>45870</v>
      </c>
      <c r="D57" s="2">
        <v>46054</v>
      </c>
      <c r="E57">
        <v>-1.5820000000000001</v>
      </c>
      <c r="F57">
        <v>-1.47</v>
      </c>
      <c r="G57">
        <v>-1.597</v>
      </c>
    </row>
    <row r="58" spans="1:7" x14ac:dyDescent="0.2">
      <c r="A58" t="s">
        <v>75</v>
      </c>
      <c r="B58" s="2">
        <v>45682</v>
      </c>
      <c r="C58" s="2">
        <v>45870</v>
      </c>
      <c r="D58" s="2">
        <v>46054</v>
      </c>
      <c r="F58">
        <v>-1.1559999999999999</v>
      </c>
      <c r="G58">
        <v>-1.3460000000000001</v>
      </c>
    </row>
    <row r="59" spans="1:7" x14ac:dyDescent="0.2">
      <c r="A59" t="s">
        <v>76</v>
      </c>
      <c r="B59" s="2">
        <v>45682</v>
      </c>
      <c r="C59" s="2">
        <v>45870</v>
      </c>
      <c r="D59" s="2">
        <v>46054</v>
      </c>
      <c r="F59">
        <v>-1.2250000000000001</v>
      </c>
      <c r="G59">
        <v>-1.3680000000000001</v>
      </c>
    </row>
    <row r="60" spans="1:7" x14ac:dyDescent="0.2">
      <c r="A60" t="s">
        <v>77</v>
      </c>
      <c r="B60" s="2">
        <v>45682</v>
      </c>
      <c r="C60" s="2">
        <v>45870</v>
      </c>
      <c r="D60" s="2">
        <v>46054</v>
      </c>
      <c r="G60">
        <v>-1.6140000000000001</v>
      </c>
    </row>
    <row r="61" spans="1:7" x14ac:dyDescent="0.2">
      <c r="A61" t="s">
        <v>78</v>
      </c>
      <c r="B61" s="2">
        <v>45682</v>
      </c>
      <c r="C61" s="2">
        <v>45870</v>
      </c>
      <c r="D61" s="2">
        <v>46054</v>
      </c>
      <c r="G61">
        <v>-1.5640000000000001</v>
      </c>
    </row>
    <row r="62" spans="1:7" x14ac:dyDescent="0.2">
      <c r="A62" t="s">
        <v>79</v>
      </c>
      <c r="B62" s="2">
        <v>45682</v>
      </c>
      <c r="C62" s="2">
        <v>45870</v>
      </c>
      <c r="D62" s="2">
        <v>46054</v>
      </c>
      <c r="F62">
        <v>-1.2509999999999999</v>
      </c>
      <c r="G62">
        <v>-1.431</v>
      </c>
    </row>
    <row r="63" spans="1:7" x14ac:dyDescent="0.2">
      <c r="A63" t="s">
        <v>80</v>
      </c>
      <c r="B63" s="2">
        <v>45682</v>
      </c>
      <c r="C63" s="2">
        <v>45870</v>
      </c>
      <c r="D63" s="2">
        <v>46054</v>
      </c>
      <c r="G63">
        <v>-1.284</v>
      </c>
    </row>
    <row r="64" spans="1:7" x14ac:dyDescent="0.2">
      <c r="A64" t="s">
        <v>81</v>
      </c>
      <c r="B64" s="2">
        <v>45682</v>
      </c>
      <c r="C64" s="2">
        <v>45870</v>
      </c>
      <c r="D64" s="2">
        <v>46054</v>
      </c>
      <c r="F64">
        <v>-0.88600000000000001</v>
      </c>
      <c r="G64">
        <v>-1.1819999999999999</v>
      </c>
    </row>
    <row r="65" spans="1:7" x14ac:dyDescent="0.2">
      <c r="A65" t="s">
        <v>82</v>
      </c>
      <c r="B65" s="2">
        <v>45682</v>
      </c>
      <c r="C65" s="2">
        <v>45870</v>
      </c>
      <c r="D65" s="2">
        <v>46054</v>
      </c>
      <c r="F65">
        <v>-0.93300000000000005</v>
      </c>
      <c r="G65">
        <v>-1.1859999999999999</v>
      </c>
    </row>
    <row r="66" spans="1:7" x14ac:dyDescent="0.2">
      <c r="A66" t="s">
        <v>83</v>
      </c>
      <c r="B66" s="2">
        <v>45682</v>
      </c>
      <c r="C66" s="2">
        <v>45870</v>
      </c>
      <c r="D66" s="2">
        <v>46054</v>
      </c>
      <c r="F66">
        <v>-1.2070000000000001</v>
      </c>
      <c r="G66">
        <v>-1.3720000000000001</v>
      </c>
    </row>
    <row r="67" spans="1:7" x14ac:dyDescent="0.2">
      <c r="A67" t="s">
        <v>88</v>
      </c>
      <c r="B67" s="2">
        <v>45682</v>
      </c>
      <c r="C67" s="2">
        <v>45870</v>
      </c>
      <c r="D67" s="2">
        <v>46054</v>
      </c>
      <c r="G67">
        <v>-1.86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2EFF2-13EC-F842-8DF0-C6F8E64FF8D5}">
  <dimension ref="A1:J6"/>
  <sheetViews>
    <sheetView workbookViewId="0">
      <selection activeCell="A7" sqref="A7"/>
    </sheetView>
  </sheetViews>
  <sheetFormatPr baseColWidth="10" defaultRowHeight="16" x14ac:dyDescent="0.2"/>
  <sheetData>
    <row r="1" spans="1:10" x14ac:dyDescent="0.2">
      <c r="A1" t="s">
        <v>91</v>
      </c>
      <c r="B1" t="s">
        <v>92</v>
      </c>
      <c r="C1" t="s">
        <v>98</v>
      </c>
      <c r="D1" t="s">
        <v>99</v>
      </c>
      <c r="E1" t="s">
        <v>100</v>
      </c>
      <c r="F1" t="s">
        <v>114</v>
      </c>
      <c r="G1" t="s">
        <v>101</v>
      </c>
      <c r="H1" t="s">
        <v>97</v>
      </c>
      <c r="I1" t="s">
        <v>102</v>
      </c>
      <c r="J1" t="s">
        <v>108</v>
      </c>
    </row>
    <row r="2" spans="1:10" x14ac:dyDescent="0.2">
      <c r="A2">
        <v>0</v>
      </c>
      <c r="B2">
        <f>A3</f>
        <v>-4</v>
      </c>
      <c r="C2">
        <f>A2-B2</f>
        <v>4</v>
      </c>
      <c r="D2">
        <v>0.2</v>
      </c>
      <c r="E2">
        <v>0.02</v>
      </c>
      <c r="F2">
        <f>C2*D2</f>
        <v>0.8</v>
      </c>
      <c r="G2">
        <f>C2/E2</f>
        <v>200</v>
      </c>
      <c r="H2" t="s">
        <v>93</v>
      </c>
      <c r="I2" t="s">
        <v>103</v>
      </c>
      <c r="J2" t="s">
        <v>109</v>
      </c>
    </row>
    <row r="3" spans="1:10" x14ac:dyDescent="0.2">
      <c r="A3">
        <v>-4</v>
      </c>
      <c r="B3">
        <f t="shared" ref="B3:B5" si="0">A4</f>
        <v>-8</v>
      </c>
      <c r="C3">
        <f t="shared" ref="C3:C6" si="1">A3-B3</f>
        <v>4</v>
      </c>
      <c r="D3">
        <v>1</v>
      </c>
      <c r="E3">
        <v>5.0000000000000001E-3</v>
      </c>
      <c r="F3">
        <f t="shared" ref="F3:F6" si="2">C3*D3</f>
        <v>4</v>
      </c>
      <c r="G3">
        <f t="shared" ref="G3:G6" si="3">C3/E3</f>
        <v>800</v>
      </c>
      <c r="H3" t="s">
        <v>93</v>
      </c>
      <c r="I3" t="s">
        <v>106</v>
      </c>
      <c r="J3" t="s">
        <v>110</v>
      </c>
    </row>
    <row r="4" spans="1:10" x14ac:dyDescent="0.2">
      <c r="A4">
        <v>-8</v>
      </c>
      <c r="B4">
        <f t="shared" si="0"/>
        <v>-50</v>
      </c>
      <c r="C4">
        <f t="shared" si="1"/>
        <v>42</v>
      </c>
      <c r="D4">
        <v>15</v>
      </c>
      <c r="E4">
        <v>1.5</v>
      </c>
      <c r="F4">
        <f t="shared" si="2"/>
        <v>630</v>
      </c>
      <c r="G4">
        <f t="shared" si="3"/>
        <v>28</v>
      </c>
      <c r="H4" t="s">
        <v>94</v>
      </c>
      <c r="I4" t="s">
        <v>104</v>
      </c>
      <c r="J4" t="s">
        <v>111</v>
      </c>
    </row>
    <row r="5" spans="1:10" x14ac:dyDescent="0.2">
      <c r="A5">
        <v>-50</v>
      </c>
      <c r="B5">
        <f t="shared" si="0"/>
        <v>-55</v>
      </c>
      <c r="C5">
        <f t="shared" si="1"/>
        <v>5</v>
      </c>
      <c r="D5">
        <v>0.2</v>
      </c>
      <c r="E5">
        <v>0.2</v>
      </c>
      <c r="F5">
        <f t="shared" si="2"/>
        <v>1</v>
      </c>
      <c r="G5">
        <f t="shared" si="3"/>
        <v>25</v>
      </c>
      <c r="H5" t="s">
        <v>95</v>
      </c>
      <c r="I5" t="s">
        <v>105</v>
      </c>
      <c r="J5" t="s">
        <v>112</v>
      </c>
    </row>
    <row r="6" spans="1:10" x14ac:dyDescent="0.2">
      <c r="A6">
        <v>-55</v>
      </c>
      <c r="B6">
        <v>-150</v>
      </c>
      <c r="C6">
        <f t="shared" si="1"/>
        <v>95</v>
      </c>
      <c r="D6">
        <v>30</v>
      </c>
      <c r="E6">
        <v>10</v>
      </c>
      <c r="F6">
        <f t="shared" si="2"/>
        <v>2850</v>
      </c>
      <c r="G6">
        <f t="shared" si="3"/>
        <v>9.5</v>
      </c>
      <c r="H6" t="s">
        <v>96</v>
      </c>
      <c r="I6" t="s">
        <v>107</v>
      </c>
      <c r="J6" t="s">
        <v>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FFF9-DB26-954D-871D-A338BC7B0C37}">
  <dimension ref="A1:G122"/>
  <sheetViews>
    <sheetView topLeftCell="A80" workbookViewId="0">
      <selection activeCell="K99" sqref="K99"/>
    </sheetView>
  </sheetViews>
  <sheetFormatPr baseColWidth="10" defaultRowHeight="16" x14ac:dyDescent="0.2"/>
  <cols>
    <col min="2" max="6" width="10.83203125" style="8"/>
  </cols>
  <sheetData>
    <row r="1" spans="1:7" x14ac:dyDescent="0.2">
      <c r="A1" s="4" t="s">
        <v>118</v>
      </c>
      <c r="B1" s="6" t="s">
        <v>0</v>
      </c>
      <c r="C1" s="6" t="s">
        <v>1</v>
      </c>
      <c r="D1" s="6" t="s">
        <v>13</v>
      </c>
      <c r="E1" s="6" t="s">
        <v>3</v>
      </c>
      <c r="F1" s="6" t="s">
        <v>4</v>
      </c>
      <c r="G1" s="4" t="s">
        <v>9</v>
      </c>
    </row>
    <row r="2" spans="1:7" x14ac:dyDescent="0.2">
      <c r="A2" s="5">
        <v>0</v>
      </c>
      <c r="B2" s="7">
        <v>129981</v>
      </c>
      <c r="C2" s="7">
        <v>475829</v>
      </c>
      <c r="D2" s="7">
        <v>145.69999999999999</v>
      </c>
      <c r="E2" s="7">
        <v>129837.3</v>
      </c>
      <c r="F2" s="7">
        <v>475853.3</v>
      </c>
      <c r="G2" s="5">
        <v>3</v>
      </c>
    </row>
    <row r="3" spans="1:7" x14ac:dyDescent="0.2">
      <c r="A3" s="5">
        <v>1</v>
      </c>
      <c r="B3" s="7">
        <v>129619</v>
      </c>
      <c r="C3" s="7">
        <v>475921</v>
      </c>
      <c r="D3" s="7">
        <v>226.6</v>
      </c>
      <c r="E3" s="7">
        <v>129842.4</v>
      </c>
      <c r="F3" s="7">
        <v>475883.3</v>
      </c>
      <c r="G3" s="5">
        <v>3</v>
      </c>
    </row>
    <row r="4" spans="1:7" x14ac:dyDescent="0.2">
      <c r="A4" s="5">
        <v>2</v>
      </c>
      <c r="B4" s="7">
        <v>129586</v>
      </c>
      <c r="C4" s="7">
        <v>475778</v>
      </c>
      <c r="D4" s="7">
        <v>235.3</v>
      </c>
      <c r="E4" s="7">
        <v>129818</v>
      </c>
      <c r="F4" s="7">
        <v>475738.8</v>
      </c>
      <c r="G4" s="5">
        <v>3</v>
      </c>
    </row>
    <row r="5" spans="1:7" x14ac:dyDescent="0.2">
      <c r="A5" s="5">
        <v>3</v>
      </c>
      <c r="B5" s="7">
        <v>129559</v>
      </c>
      <c r="C5" s="7">
        <v>475647</v>
      </c>
      <c r="D5" s="7">
        <v>240.1</v>
      </c>
      <c r="E5" s="7">
        <v>129795.8</v>
      </c>
      <c r="F5" s="7">
        <v>475607</v>
      </c>
      <c r="G5" s="5">
        <v>3</v>
      </c>
    </row>
    <row r="6" spans="1:7" x14ac:dyDescent="0.2">
      <c r="A6" s="5">
        <v>4</v>
      </c>
      <c r="B6" s="7">
        <v>129598</v>
      </c>
      <c r="C6" s="7">
        <v>476032</v>
      </c>
      <c r="D6" s="7">
        <v>265.8</v>
      </c>
      <c r="E6" s="7">
        <v>129860.1</v>
      </c>
      <c r="F6" s="7">
        <v>475987.7</v>
      </c>
      <c r="G6" s="5">
        <v>3</v>
      </c>
    </row>
    <row r="7" spans="1:7" x14ac:dyDescent="0.2">
      <c r="A7" s="5">
        <v>5</v>
      </c>
      <c r="B7" s="7">
        <v>129602</v>
      </c>
      <c r="C7" s="7">
        <v>476057</v>
      </c>
      <c r="D7" s="7">
        <v>266</v>
      </c>
      <c r="E7" s="7">
        <v>129864.3</v>
      </c>
      <c r="F7" s="7">
        <v>476012.7</v>
      </c>
      <c r="G7" s="5">
        <v>3</v>
      </c>
    </row>
    <row r="8" spans="1:7" x14ac:dyDescent="0.2">
      <c r="A8" s="5">
        <v>6</v>
      </c>
      <c r="B8" s="7">
        <v>129570</v>
      </c>
      <c r="C8" s="7">
        <v>475998</v>
      </c>
      <c r="D8" s="7">
        <v>287.7</v>
      </c>
      <c r="E8" s="7">
        <v>129853.7</v>
      </c>
      <c r="F8" s="7">
        <v>475950.1</v>
      </c>
      <c r="G8" s="5">
        <v>3</v>
      </c>
    </row>
    <row r="9" spans="1:7" x14ac:dyDescent="0.2">
      <c r="A9" s="5">
        <v>7</v>
      </c>
      <c r="B9" s="7">
        <v>129551</v>
      </c>
      <c r="C9" s="7">
        <v>475915</v>
      </c>
      <c r="D9" s="7">
        <v>292.60000000000002</v>
      </c>
      <c r="E9" s="7">
        <v>129839.5</v>
      </c>
      <c r="F9" s="7">
        <v>475866.3</v>
      </c>
      <c r="G9" s="5">
        <v>3</v>
      </c>
    </row>
    <row r="10" spans="1:7" x14ac:dyDescent="0.2">
      <c r="A10" s="5">
        <v>8</v>
      </c>
      <c r="B10" s="7">
        <v>129503</v>
      </c>
      <c r="C10" s="7">
        <v>475910</v>
      </c>
      <c r="D10" s="7">
        <v>339.1</v>
      </c>
      <c r="E10" s="7">
        <v>129837.4</v>
      </c>
      <c r="F10" s="7">
        <v>475853.5</v>
      </c>
      <c r="G10" s="5">
        <v>3</v>
      </c>
    </row>
    <row r="11" spans="1:7" x14ac:dyDescent="0.2">
      <c r="A11" s="5">
        <v>9</v>
      </c>
      <c r="B11" s="7">
        <v>129464</v>
      </c>
      <c r="C11" s="7">
        <v>475696</v>
      </c>
      <c r="D11" s="7">
        <v>341.9</v>
      </c>
      <c r="E11" s="7">
        <v>129801.2</v>
      </c>
      <c r="F11" s="7">
        <v>475639.1</v>
      </c>
      <c r="G11" s="5">
        <v>3</v>
      </c>
    </row>
    <row r="12" spans="1:7" x14ac:dyDescent="0.2">
      <c r="A12" s="5">
        <v>10</v>
      </c>
      <c r="B12" s="7">
        <v>129469</v>
      </c>
      <c r="C12" s="7">
        <v>475748</v>
      </c>
      <c r="D12" s="7">
        <v>345.7</v>
      </c>
      <c r="E12" s="7">
        <v>129809.8</v>
      </c>
      <c r="F12" s="7">
        <v>475690.4</v>
      </c>
      <c r="G12" s="5">
        <v>3</v>
      </c>
    </row>
    <row r="13" spans="1:7" x14ac:dyDescent="0.2">
      <c r="A13" s="5">
        <v>11</v>
      </c>
      <c r="B13" s="7">
        <v>129462</v>
      </c>
      <c r="C13" s="7">
        <v>475907</v>
      </c>
      <c r="D13" s="7">
        <v>379.1</v>
      </c>
      <c r="E13" s="7">
        <v>129835.8</v>
      </c>
      <c r="F13" s="7">
        <v>475843.9</v>
      </c>
      <c r="G13" s="5">
        <v>3</v>
      </c>
    </row>
    <row r="14" spans="1:7" x14ac:dyDescent="0.2">
      <c r="A14" s="5">
        <v>12</v>
      </c>
      <c r="B14" s="7">
        <v>129450</v>
      </c>
      <c r="C14" s="7">
        <v>475856</v>
      </c>
      <c r="D14" s="7">
        <v>382.4</v>
      </c>
      <c r="E14" s="7">
        <v>129827.1</v>
      </c>
      <c r="F14" s="7">
        <v>475792.3</v>
      </c>
      <c r="G14" s="5">
        <v>3</v>
      </c>
    </row>
    <row r="15" spans="1:7" x14ac:dyDescent="0.2">
      <c r="A15" s="5">
        <v>13</v>
      </c>
      <c r="B15" s="7">
        <v>129404</v>
      </c>
      <c r="C15" s="7">
        <v>475743</v>
      </c>
      <c r="D15" s="7">
        <v>408.9</v>
      </c>
      <c r="E15" s="7">
        <v>129807.2</v>
      </c>
      <c r="F15" s="7">
        <v>475674.9</v>
      </c>
      <c r="G15" s="5">
        <v>3</v>
      </c>
    </row>
    <row r="16" spans="1:7" x14ac:dyDescent="0.2">
      <c r="A16" s="5">
        <v>14</v>
      </c>
      <c r="B16" s="7">
        <v>129427</v>
      </c>
      <c r="C16" s="7">
        <v>475929</v>
      </c>
      <c r="D16" s="7">
        <v>417.2</v>
      </c>
      <c r="E16" s="7">
        <v>129838.39999999999</v>
      </c>
      <c r="F16" s="7">
        <v>475859.5</v>
      </c>
      <c r="G16" s="5">
        <v>3</v>
      </c>
    </row>
    <row r="17" spans="1:7" x14ac:dyDescent="0.2">
      <c r="A17" s="5">
        <v>15</v>
      </c>
      <c r="B17" s="7">
        <v>129366</v>
      </c>
      <c r="C17" s="7">
        <v>475739</v>
      </c>
      <c r="D17" s="7">
        <v>445.7</v>
      </c>
      <c r="E17" s="7">
        <v>129805.5</v>
      </c>
      <c r="F17" s="7">
        <v>475664.8</v>
      </c>
      <c r="G17" s="5">
        <v>3</v>
      </c>
    </row>
    <row r="18" spans="1:7" x14ac:dyDescent="0.2">
      <c r="A18" s="5">
        <v>16</v>
      </c>
      <c r="B18" s="7">
        <v>129408</v>
      </c>
      <c r="C18" s="7">
        <v>476034</v>
      </c>
      <c r="D18" s="7">
        <v>453.4</v>
      </c>
      <c r="E18" s="7">
        <v>129855.1</v>
      </c>
      <c r="F18" s="7">
        <v>475958.5</v>
      </c>
      <c r="G18" s="5">
        <v>3</v>
      </c>
    </row>
    <row r="19" spans="1:7" x14ac:dyDescent="0.2">
      <c r="A19" s="5">
        <v>17</v>
      </c>
      <c r="B19" s="7">
        <v>129405</v>
      </c>
      <c r="C19" s="7">
        <v>476105</v>
      </c>
      <c r="D19" s="7">
        <v>468.2</v>
      </c>
      <c r="E19" s="7">
        <v>129866.7</v>
      </c>
      <c r="F19" s="7">
        <v>476027</v>
      </c>
      <c r="G19" s="5">
        <v>3</v>
      </c>
    </row>
    <row r="20" spans="1:7" x14ac:dyDescent="0.2">
      <c r="A20" s="5">
        <v>18</v>
      </c>
      <c r="B20" s="7">
        <v>129332</v>
      </c>
      <c r="C20" s="7">
        <v>475738</v>
      </c>
      <c r="D20" s="7">
        <v>479.1</v>
      </c>
      <c r="E20" s="7">
        <v>129804.4</v>
      </c>
      <c r="F20" s="7">
        <v>475658.2</v>
      </c>
      <c r="G20" s="5">
        <v>3</v>
      </c>
    </row>
    <row r="21" spans="1:7" x14ac:dyDescent="0.2">
      <c r="A21" s="5">
        <v>19</v>
      </c>
      <c r="B21" s="7">
        <v>129398</v>
      </c>
      <c r="C21" s="7">
        <v>476168</v>
      </c>
      <c r="D21" s="7">
        <v>485.6</v>
      </c>
      <c r="E21" s="7">
        <v>129876.8</v>
      </c>
      <c r="F21" s="7">
        <v>476087.1</v>
      </c>
      <c r="G21" s="5">
        <v>3</v>
      </c>
    </row>
    <row r="22" spans="1:7" x14ac:dyDescent="0.2">
      <c r="A22" s="5">
        <v>20</v>
      </c>
      <c r="B22" s="7">
        <v>129359</v>
      </c>
      <c r="C22" s="7">
        <v>476031</v>
      </c>
      <c r="D22" s="7">
        <v>501.3</v>
      </c>
      <c r="E22" s="7">
        <v>129853.3</v>
      </c>
      <c r="F22" s="7">
        <v>475947.5</v>
      </c>
      <c r="G22" s="5">
        <v>3</v>
      </c>
    </row>
    <row r="23" spans="1:7" x14ac:dyDescent="0.2">
      <c r="A23" s="5">
        <v>21</v>
      </c>
      <c r="B23" s="7">
        <v>129301</v>
      </c>
      <c r="C23" s="7">
        <v>475730</v>
      </c>
      <c r="D23" s="7">
        <v>508.3</v>
      </c>
      <c r="E23" s="7">
        <v>129802.2</v>
      </c>
      <c r="F23" s="7">
        <v>475645.3</v>
      </c>
      <c r="G23" s="5">
        <v>3</v>
      </c>
    </row>
    <row r="24" spans="1:7" x14ac:dyDescent="0.2">
      <c r="A24" s="5">
        <v>22</v>
      </c>
      <c r="B24" s="7">
        <v>129304</v>
      </c>
      <c r="C24" s="7">
        <v>475876</v>
      </c>
      <c r="D24" s="7">
        <v>529.70000000000005</v>
      </c>
      <c r="E24" s="7">
        <v>129826.3</v>
      </c>
      <c r="F24" s="7">
        <v>475787.8</v>
      </c>
      <c r="G24" s="5">
        <v>3</v>
      </c>
    </row>
    <row r="25" spans="1:7" x14ac:dyDescent="0.2">
      <c r="A25" s="5">
        <v>23</v>
      </c>
      <c r="B25" s="7">
        <v>129304</v>
      </c>
      <c r="C25" s="7">
        <v>475932</v>
      </c>
      <c r="D25" s="7">
        <v>539</v>
      </c>
      <c r="E25" s="7">
        <v>129835.5</v>
      </c>
      <c r="F25" s="7">
        <v>475842.2</v>
      </c>
      <c r="G25" s="5">
        <v>3</v>
      </c>
    </row>
    <row r="26" spans="1:7" x14ac:dyDescent="0.2">
      <c r="A26" s="5">
        <v>24</v>
      </c>
      <c r="B26" s="7">
        <v>129310</v>
      </c>
      <c r="C26" s="7">
        <v>476030</v>
      </c>
      <c r="D26" s="7">
        <v>549.4</v>
      </c>
      <c r="E26" s="7">
        <v>129851.7</v>
      </c>
      <c r="F26" s="7">
        <v>475938.5</v>
      </c>
      <c r="G26" s="5">
        <v>3</v>
      </c>
    </row>
    <row r="27" spans="1:7" x14ac:dyDescent="0.2">
      <c r="A27" s="5">
        <v>25</v>
      </c>
      <c r="B27" s="7">
        <v>129232</v>
      </c>
      <c r="C27" s="7">
        <v>475746</v>
      </c>
      <c r="D27" s="7">
        <v>579</v>
      </c>
      <c r="E27" s="7">
        <v>129802.9</v>
      </c>
      <c r="F27" s="7">
        <v>475649.6</v>
      </c>
      <c r="G27" s="5">
        <v>3</v>
      </c>
    </row>
    <row r="28" spans="1:7" x14ac:dyDescent="0.2">
      <c r="A28" s="5">
        <v>26</v>
      </c>
      <c r="B28" s="7">
        <v>129209</v>
      </c>
      <c r="C28" s="7">
        <v>476045</v>
      </c>
      <c r="D28" s="7">
        <v>651.5</v>
      </c>
      <c r="E28" s="7">
        <v>129851.4</v>
      </c>
      <c r="F28" s="7">
        <v>475936.5</v>
      </c>
      <c r="G28" s="5">
        <v>3</v>
      </c>
    </row>
    <row r="29" spans="1:7" x14ac:dyDescent="0.2">
      <c r="A29" s="5">
        <v>27</v>
      </c>
      <c r="B29" s="7">
        <v>129158</v>
      </c>
      <c r="C29" s="7">
        <v>475768</v>
      </c>
      <c r="D29" s="7">
        <v>655.7</v>
      </c>
      <c r="E29" s="7">
        <v>129804.5</v>
      </c>
      <c r="F29" s="7">
        <v>475658.8</v>
      </c>
      <c r="G29" s="5">
        <v>3</v>
      </c>
    </row>
    <row r="30" spans="1:7" x14ac:dyDescent="0.2">
      <c r="A30" s="5">
        <v>28</v>
      </c>
      <c r="B30" s="7">
        <v>129186</v>
      </c>
      <c r="C30" s="7">
        <v>475942</v>
      </c>
      <c r="D30" s="7">
        <v>657</v>
      </c>
      <c r="E30" s="7">
        <v>129833.9</v>
      </c>
      <c r="F30" s="7">
        <v>475832.6</v>
      </c>
      <c r="G30" s="5">
        <v>3</v>
      </c>
    </row>
    <row r="31" spans="1:7" x14ac:dyDescent="0.2">
      <c r="A31" s="5">
        <v>29</v>
      </c>
      <c r="B31" s="7">
        <v>129186</v>
      </c>
      <c r="C31" s="7">
        <v>475995</v>
      </c>
      <c r="D31" s="7">
        <v>665.9</v>
      </c>
      <c r="E31" s="7">
        <v>129842.6</v>
      </c>
      <c r="F31" s="7">
        <v>475884.1</v>
      </c>
      <c r="G31" s="5">
        <v>3</v>
      </c>
    </row>
    <row r="32" spans="1:7" x14ac:dyDescent="0.2">
      <c r="A32" s="5">
        <v>30</v>
      </c>
      <c r="B32" s="7">
        <v>129161</v>
      </c>
      <c r="C32" s="7">
        <v>475905</v>
      </c>
      <c r="D32" s="7">
        <v>675.5</v>
      </c>
      <c r="E32" s="7">
        <v>129827.1</v>
      </c>
      <c r="F32" s="7">
        <v>475792.5</v>
      </c>
      <c r="G32" s="5">
        <v>3</v>
      </c>
    </row>
    <row r="33" spans="1:7" x14ac:dyDescent="0.2">
      <c r="A33" s="5">
        <v>31</v>
      </c>
      <c r="B33" s="7">
        <v>129714</v>
      </c>
      <c r="C33" s="7">
        <v>475490</v>
      </c>
      <c r="D33" s="7">
        <v>61.1</v>
      </c>
      <c r="E33" s="7">
        <v>129774.3</v>
      </c>
      <c r="F33" s="7">
        <v>475479.8</v>
      </c>
      <c r="G33" s="5">
        <v>4</v>
      </c>
    </row>
    <row r="34" spans="1:7" x14ac:dyDescent="0.2">
      <c r="A34" s="5">
        <v>32</v>
      </c>
      <c r="B34" s="7">
        <v>129683</v>
      </c>
      <c r="C34" s="7">
        <v>475385</v>
      </c>
      <c r="D34" s="7">
        <v>74.2</v>
      </c>
      <c r="E34" s="7">
        <v>129756.2</v>
      </c>
      <c r="F34" s="7">
        <v>475372.6</v>
      </c>
      <c r="G34" s="5">
        <v>4</v>
      </c>
    </row>
    <row r="35" spans="1:7" x14ac:dyDescent="0.2">
      <c r="A35" s="5">
        <v>33</v>
      </c>
      <c r="B35" s="7">
        <v>129668</v>
      </c>
      <c r="C35" s="7">
        <v>475328</v>
      </c>
      <c r="D35" s="7">
        <v>79.5</v>
      </c>
      <c r="E35" s="7">
        <v>129746.4</v>
      </c>
      <c r="F35" s="7">
        <v>475314.8</v>
      </c>
      <c r="G35" s="5">
        <v>4</v>
      </c>
    </row>
    <row r="36" spans="1:7" x14ac:dyDescent="0.2">
      <c r="A36" s="5">
        <v>34</v>
      </c>
      <c r="B36" s="7">
        <v>129718</v>
      </c>
      <c r="C36" s="7">
        <v>475636</v>
      </c>
      <c r="D36" s="7">
        <v>81.5</v>
      </c>
      <c r="E36" s="7">
        <v>129798.39999999999</v>
      </c>
      <c r="F36" s="7">
        <v>475622.40000000002</v>
      </c>
      <c r="G36" s="5">
        <v>4</v>
      </c>
    </row>
    <row r="37" spans="1:7" x14ac:dyDescent="0.2">
      <c r="A37" s="5">
        <v>35</v>
      </c>
      <c r="B37" s="7">
        <v>129714</v>
      </c>
      <c r="C37" s="7">
        <v>475616</v>
      </c>
      <c r="D37" s="7">
        <v>82.1</v>
      </c>
      <c r="E37" s="7">
        <v>129795</v>
      </c>
      <c r="F37" s="7">
        <v>475602.3</v>
      </c>
      <c r="G37" s="5">
        <v>4</v>
      </c>
    </row>
    <row r="38" spans="1:7" x14ac:dyDescent="0.2">
      <c r="A38" s="5">
        <v>36</v>
      </c>
      <c r="B38" s="7">
        <v>129873</v>
      </c>
      <c r="C38" s="7">
        <v>475466</v>
      </c>
      <c r="D38" s="7">
        <v>99.6</v>
      </c>
      <c r="E38" s="7">
        <v>129774.7</v>
      </c>
      <c r="F38" s="7">
        <v>475482.6</v>
      </c>
      <c r="G38" s="5">
        <v>4</v>
      </c>
    </row>
    <row r="39" spans="1:7" x14ac:dyDescent="0.2">
      <c r="A39" s="5">
        <v>37</v>
      </c>
      <c r="B39" s="7">
        <v>129643</v>
      </c>
      <c r="C39" s="7">
        <v>475311</v>
      </c>
      <c r="D39" s="7">
        <v>101.3</v>
      </c>
      <c r="E39" s="7">
        <v>129742.9</v>
      </c>
      <c r="F39" s="7">
        <v>475294.1</v>
      </c>
      <c r="G39" s="5">
        <v>4</v>
      </c>
    </row>
    <row r="40" spans="1:7" x14ac:dyDescent="0.2">
      <c r="A40" s="5">
        <v>38</v>
      </c>
      <c r="B40" s="7">
        <v>129842</v>
      </c>
      <c r="C40" s="7">
        <v>475269</v>
      </c>
      <c r="D40" s="7">
        <v>101.9</v>
      </c>
      <c r="E40" s="7">
        <v>129741.5</v>
      </c>
      <c r="F40" s="7">
        <v>475286</v>
      </c>
      <c r="G40" s="5">
        <v>4</v>
      </c>
    </row>
    <row r="41" spans="1:7" x14ac:dyDescent="0.2">
      <c r="A41" s="5">
        <v>39</v>
      </c>
      <c r="B41" s="7">
        <v>129862</v>
      </c>
      <c r="C41" s="7">
        <v>475337</v>
      </c>
      <c r="D41" s="7">
        <v>110.3</v>
      </c>
      <c r="E41" s="7">
        <v>129753.3</v>
      </c>
      <c r="F41" s="7">
        <v>475355.4</v>
      </c>
      <c r="G41" s="5">
        <v>4</v>
      </c>
    </row>
    <row r="42" spans="1:7" x14ac:dyDescent="0.2">
      <c r="A42" s="5">
        <v>40</v>
      </c>
      <c r="B42" s="7">
        <v>129882</v>
      </c>
      <c r="C42" s="7">
        <v>475422</v>
      </c>
      <c r="D42" s="7">
        <v>115.9</v>
      </c>
      <c r="E42" s="7">
        <v>129767.8</v>
      </c>
      <c r="F42" s="7">
        <v>475441.3</v>
      </c>
      <c r="G42" s="5">
        <v>4</v>
      </c>
    </row>
    <row r="43" spans="1:7" x14ac:dyDescent="0.2">
      <c r="A43" s="5">
        <v>41</v>
      </c>
      <c r="B43" s="7">
        <v>129900</v>
      </c>
      <c r="C43" s="7">
        <v>475479</v>
      </c>
      <c r="D43" s="7">
        <v>124.1</v>
      </c>
      <c r="E43" s="7">
        <v>129777.60000000001</v>
      </c>
      <c r="F43" s="7">
        <v>475499.7</v>
      </c>
      <c r="G43" s="5">
        <v>4</v>
      </c>
    </row>
    <row r="44" spans="1:7" x14ac:dyDescent="0.2">
      <c r="A44" s="5">
        <v>42</v>
      </c>
      <c r="B44" s="7">
        <v>129855</v>
      </c>
      <c r="C44" s="7">
        <v>475210</v>
      </c>
      <c r="D44" s="7">
        <v>124.5</v>
      </c>
      <c r="E44" s="7">
        <v>129732.2</v>
      </c>
      <c r="F44" s="7">
        <v>475230.7</v>
      </c>
      <c r="G44" s="5">
        <v>4</v>
      </c>
    </row>
    <row r="45" spans="1:7" x14ac:dyDescent="0.2">
      <c r="A45" s="5">
        <v>43</v>
      </c>
      <c r="B45" s="7">
        <v>129923</v>
      </c>
      <c r="C45" s="7">
        <v>475596</v>
      </c>
      <c r="D45" s="7">
        <v>127.3</v>
      </c>
      <c r="E45" s="7">
        <v>129797.5</v>
      </c>
      <c r="F45" s="7">
        <v>475617.2</v>
      </c>
      <c r="G45" s="5">
        <v>4</v>
      </c>
    </row>
    <row r="46" spans="1:7" x14ac:dyDescent="0.2">
      <c r="A46" s="5">
        <v>44</v>
      </c>
      <c r="B46" s="7">
        <v>129644</v>
      </c>
      <c r="C46" s="7">
        <v>475500</v>
      </c>
      <c r="D46" s="7">
        <v>131.80000000000001</v>
      </c>
      <c r="E46" s="7">
        <v>129774</v>
      </c>
      <c r="F46" s="7">
        <v>475478</v>
      </c>
      <c r="G46" s="5">
        <v>4</v>
      </c>
    </row>
    <row r="47" spans="1:7" x14ac:dyDescent="0.2">
      <c r="A47" s="5">
        <v>45</v>
      </c>
      <c r="B47" s="7">
        <v>129607</v>
      </c>
      <c r="C47" s="7">
        <v>475330</v>
      </c>
      <c r="D47" s="7">
        <v>140</v>
      </c>
      <c r="E47" s="7">
        <v>129745</v>
      </c>
      <c r="F47" s="7">
        <v>475306.7</v>
      </c>
      <c r="G47" s="5">
        <v>4</v>
      </c>
    </row>
    <row r="48" spans="1:7" x14ac:dyDescent="0.2">
      <c r="A48" s="5">
        <v>46</v>
      </c>
      <c r="B48" s="7">
        <v>129887</v>
      </c>
      <c r="C48" s="7">
        <v>475277</v>
      </c>
      <c r="D48" s="7">
        <v>144.9</v>
      </c>
      <c r="E48" s="7">
        <v>129744.1</v>
      </c>
      <c r="F48" s="7">
        <v>475301.1</v>
      </c>
      <c r="G48" s="5">
        <v>4</v>
      </c>
    </row>
    <row r="49" spans="1:7" x14ac:dyDescent="0.2">
      <c r="A49" s="5">
        <v>47</v>
      </c>
      <c r="B49" s="7">
        <v>129607</v>
      </c>
      <c r="C49" s="7">
        <v>475378</v>
      </c>
      <c r="D49" s="7">
        <v>148</v>
      </c>
      <c r="E49" s="7">
        <v>129752.9</v>
      </c>
      <c r="F49" s="7">
        <v>475353.4</v>
      </c>
      <c r="G49" s="5">
        <v>4</v>
      </c>
    </row>
    <row r="50" spans="1:7" x14ac:dyDescent="0.2">
      <c r="A50" s="5">
        <v>48</v>
      </c>
      <c r="B50" s="7">
        <v>129626</v>
      </c>
      <c r="C50" s="7">
        <v>475538</v>
      </c>
      <c r="D50" s="7">
        <v>155.9</v>
      </c>
      <c r="E50" s="7">
        <v>129779.7</v>
      </c>
      <c r="F50" s="7">
        <v>475512</v>
      </c>
      <c r="G50" s="5">
        <v>4</v>
      </c>
    </row>
    <row r="51" spans="1:7" x14ac:dyDescent="0.2">
      <c r="A51" s="5">
        <v>49</v>
      </c>
      <c r="B51" s="7">
        <v>129935</v>
      </c>
      <c r="C51" s="7">
        <v>475489</v>
      </c>
      <c r="D51" s="7">
        <v>157</v>
      </c>
      <c r="E51" s="7">
        <v>129780.2</v>
      </c>
      <c r="F51" s="7">
        <v>475515.1</v>
      </c>
      <c r="G51" s="5">
        <v>4</v>
      </c>
    </row>
    <row r="52" spans="1:7" x14ac:dyDescent="0.2">
      <c r="A52" s="5">
        <v>50</v>
      </c>
      <c r="B52" s="7">
        <v>129575</v>
      </c>
      <c r="C52" s="7">
        <v>475303</v>
      </c>
      <c r="D52" s="7">
        <v>167</v>
      </c>
      <c r="E52" s="7">
        <v>129739.7</v>
      </c>
      <c r="F52" s="7">
        <v>475275.2</v>
      </c>
      <c r="G52" s="5">
        <v>4</v>
      </c>
    </row>
    <row r="53" spans="1:7" x14ac:dyDescent="0.2">
      <c r="A53" s="5">
        <v>51</v>
      </c>
      <c r="B53" s="7">
        <v>129971</v>
      </c>
      <c r="C53" s="7">
        <v>475634</v>
      </c>
      <c r="D53" s="7">
        <v>168.3</v>
      </c>
      <c r="E53" s="7">
        <v>129805</v>
      </c>
      <c r="F53" s="7">
        <v>475662</v>
      </c>
      <c r="G53" s="5">
        <v>4</v>
      </c>
    </row>
    <row r="54" spans="1:7" x14ac:dyDescent="0.2">
      <c r="A54" s="5">
        <v>52</v>
      </c>
      <c r="B54" s="7">
        <v>129544</v>
      </c>
      <c r="C54" s="7">
        <v>475257</v>
      </c>
      <c r="D54" s="7">
        <v>190</v>
      </c>
      <c r="E54" s="7">
        <v>129731.3</v>
      </c>
      <c r="F54" s="7">
        <v>475225.4</v>
      </c>
      <c r="G54" s="5">
        <v>4</v>
      </c>
    </row>
    <row r="55" spans="1:7" x14ac:dyDescent="0.2">
      <c r="A55" s="5">
        <v>53</v>
      </c>
      <c r="B55" s="7">
        <v>129956</v>
      </c>
      <c r="C55" s="7">
        <v>475354</v>
      </c>
      <c r="D55" s="7">
        <v>200.1</v>
      </c>
      <c r="E55" s="7">
        <v>129758.7</v>
      </c>
      <c r="F55" s="7">
        <v>475387.3</v>
      </c>
      <c r="G55" s="5">
        <v>4</v>
      </c>
    </row>
    <row r="56" spans="1:7" x14ac:dyDescent="0.2">
      <c r="A56" s="5">
        <v>54</v>
      </c>
      <c r="B56" s="7">
        <v>129569</v>
      </c>
      <c r="C56" s="7">
        <v>475520</v>
      </c>
      <c r="D56" s="7">
        <v>209.1</v>
      </c>
      <c r="E56" s="7">
        <v>129775.2</v>
      </c>
      <c r="F56" s="7">
        <v>475485.2</v>
      </c>
      <c r="G56" s="5">
        <v>4</v>
      </c>
    </row>
    <row r="57" spans="1:7" x14ac:dyDescent="0.2">
      <c r="A57" s="5">
        <v>55</v>
      </c>
      <c r="B57" s="7">
        <v>129526</v>
      </c>
      <c r="C57" s="7">
        <v>475341</v>
      </c>
      <c r="D57" s="7">
        <v>221.7</v>
      </c>
      <c r="E57" s="7">
        <v>129744.6</v>
      </c>
      <c r="F57" s="7">
        <v>475304.1</v>
      </c>
      <c r="G57" s="5">
        <v>4</v>
      </c>
    </row>
    <row r="58" spans="1:7" x14ac:dyDescent="0.2">
      <c r="A58" s="5">
        <v>56</v>
      </c>
      <c r="B58" s="7">
        <v>129488</v>
      </c>
      <c r="C58" s="7">
        <v>475256</v>
      </c>
      <c r="D58" s="7">
        <v>245</v>
      </c>
      <c r="E58" s="7">
        <v>129729.60000000001</v>
      </c>
      <c r="F58" s="7">
        <v>475215.2</v>
      </c>
      <c r="G58" s="5">
        <v>4</v>
      </c>
    </row>
    <row r="59" spans="1:7" x14ac:dyDescent="0.2">
      <c r="A59" s="5">
        <v>57</v>
      </c>
      <c r="B59" s="7">
        <v>129473</v>
      </c>
      <c r="C59" s="7">
        <v>475222</v>
      </c>
      <c r="D59" s="7">
        <v>254.1</v>
      </c>
      <c r="E59" s="7">
        <v>129723.6</v>
      </c>
      <c r="F59" s="7">
        <v>475179.7</v>
      </c>
      <c r="G59" s="5">
        <v>4</v>
      </c>
    </row>
    <row r="60" spans="1:7" x14ac:dyDescent="0.2">
      <c r="A60" s="5">
        <v>58</v>
      </c>
      <c r="B60" s="7">
        <v>129993</v>
      </c>
      <c r="C60" s="7">
        <v>475245</v>
      </c>
      <c r="D60" s="7">
        <v>254.8</v>
      </c>
      <c r="E60" s="7">
        <v>129741.8</v>
      </c>
      <c r="F60" s="7">
        <v>475287.4</v>
      </c>
      <c r="G60" s="5">
        <v>4</v>
      </c>
    </row>
    <row r="61" spans="1:7" x14ac:dyDescent="0.2">
      <c r="A61" s="5">
        <v>59</v>
      </c>
      <c r="B61" s="7">
        <v>129481</v>
      </c>
      <c r="C61" s="7">
        <v>475320</v>
      </c>
      <c r="D61" s="7">
        <v>262.60000000000002</v>
      </c>
      <c r="E61" s="7">
        <v>129739.9</v>
      </c>
      <c r="F61" s="7">
        <v>475276.3</v>
      </c>
      <c r="G61" s="5">
        <v>4</v>
      </c>
    </row>
    <row r="62" spans="1:7" x14ac:dyDescent="0.2">
      <c r="A62" s="5">
        <v>60</v>
      </c>
      <c r="B62" s="7">
        <v>129490</v>
      </c>
      <c r="C62" s="7">
        <v>475387</v>
      </c>
      <c r="D62" s="7">
        <v>264.8</v>
      </c>
      <c r="E62" s="7">
        <v>129751.1</v>
      </c>
      <c r="F62" s="7">
        <v>475342.9</v>
      </c>
      <c r="G62" s="5">
        <v>4</v>
      </c>
    </row>
    <row r="63" spans="1:7" x14ac:dyDescent="0.2">
      <c r="A63" s="5">
        <v>61</v>
      </c>
      <c r="B63" s="7">
        <v>130067</v>
      </c>
      <c r="C63" s="7">
        <v>475607</v>
      </c>
      <c r="D63" s="7">
        <v>267.5</v>
      </c>
      <c r="E63" s="7">
        <v>129803.3</v>
      </c>
      <c r="F63" s="7">
        <v>475651.5</v>
      </c>
      <c r="G63" s="5">
        <v>4</v>
      </c>
    </row>
    <row r="64" spans="1:7" x14ac:dyDescent="0.2">
      <c r="A64" s="5">
        <v>62</v>
      </c>
      <c r="B64" s="7">
        <v>129494</v>
      </c>
      <c r="C64" s="7">
        <v>475443</v>
      </c>
      <c r="D64" s="7">
        <v>270.2</v>
      </c>
      <c r="E64" s="7">
        <v>129760.5</v>
      </c>
      <c r="F64" s="7">
        <v>475398</v>
      </c>
      <c r="G64" s="5">
        <v>4</v>
      </c>
    </row>
    <row r="65" spans="1:7" x14ac:dyDescent="0.2">
      <c r="A65" s="5">
        <v>63</v>
      </c>
      <c r="B65" s="7">
        <v>130006</v>
      </c>
      <c r="C65" s="7">
        <v>475226</v>
      </c>
      <c r="D65" s="7">
        <v>270.8</v>
      </c>
      <c r="E65" s="7">
        <v>129739</v>
      </c>
      <c r="F65" s="7">
        <v>475271.1</v>
      </c>
      <c r="G65" s="5">
        <v>4</v>
      </c>
    </row>
    <row r="66" spans="1:7" x14ac:dyDescent="0.2">
      <c r="A66" s="5">
        <v>64</v>
      </c>
      <c r="B66" s="7">
        <v>129501</v>
      </c>
      <c r="C66" s="7">
        <v>475495</v>
      </c>
      <c r="D66" s="7">
        <v>272</v>
      </c>
      <c r="E66" s="7">
        <v>129769.2</v>
      </c>
      <c r="F66" s="7">
        <v>475449.7</v>
      </c>
      <c r="G66" s="5">
        <v>4</v>
      </c>
    </row>
    <row r="67" spans="1:7" x14ac:dyDescent="0.2">
      <c r="A67" s="5">
        <v>65</v>
      </c>
      <c r="B67" s="7">
        <v>130084</v>
      </c>
      <c r="C67" s="7">
        <v>475532</v>
      </c>
      <c r="D67" s="7">
        <v>296.7</v>
      </c>
      <c r="E67" s="7">
        <v>129791.4</v>
      </c>
      <c r="F67" s="7">
        <v>475581.4</v>
      </c>
      <c r="G67" s="5">
        <v>4</v>
      </c>
    </row>
    <row r="68" spans="1:7" x14ac:dyDescent="0.2">
      <c r="A68" s="5">
        <v>66</v>
      </c>
      <c r="B68" s="7">
        <v>130109</v>
      </c>
      <c r="C68" s="7">
        <v>475599</v>
      </c>
      <c r="D68" s="7">
        <v>310.2</v>
      </c>
      <c r="E68" s="7">
        <v>129803.1</v>
      </c>
      <c r="F68" s="7">
        <v>475650.7</v>
      </c>
      <c r="G68" s="5">
        <v>4</v>
      </c>
    </row>
    <row r="69" spans="1:7" x14ac:dyDescent="0.2">
      <c r="A69" s="5">
        <v>67</v>
      </c>
      <c r="B69" s="7">
        <v>130070</v>
      </c>
      <c r="C69" s="7">
        <v>475241</v>
      </c>
      <c r="D69" s="7">
        <v>331.4</v>
      </c>
      <c r="E69" s="7">
        <v>129743.3</v>
      </c>
      <c r="F69" s="7">
        <v>475296.2</v>
      </c>
      <c r="G69" s="5">
        <v>4</v>
      </c>
    </row>
    <row r="70" spans="1:7" x14ac:dyDescent="0.2">
      <c r="A70" s="5">
        <v>68</v>
      </c>
      <c r="B70" s="7">
        <v>129440</v>
      </c>
      <c r="C70" s="7">
        <v>475492</v>
      </c>
      <c r="D70" s="7">
        <v>331.6</v>
      </c>
      <c r="E70" s="7">
        <v>129767</v>
      </c>
      <c r="F70" s="7">
        <v>475436.79999999999</v>
      </c>
      <c r="G70" s="5">
        <v>4</v>
      </c>
    </row>
    <row r="71" spans="1:7" x14ac:dyDescent="0.2">
      <c r="A71" s="5">
        <v>69</v>
      </c>
      <c r="B71" s="7">
        <v>129362</v>
      </c>
      <c r="C71" s="7">
        <v>475439</v>
      </c>
      <c r="D71" s="7">
        <v>399.7</v>
      </c>
      <c r="E71" s="7">
        <v>129756.1</v>
      </c>
      <c r="F71" s="7">
        <v>475372.4</v>
      </c>
      <c r="G71" s="5">
        <v>4</v>
      </c>
    </row>
    <row r="72" spans="1:7" x14ac:dyDescent="0.2">
      <c r="A72" s="5">
        <v>70</v>
      </c>
      <c r="B72" s="7">
        <v>129293</v>
      </c>
      <c r="C72" s="7">
        <v>475285</v>
      </c>
      <c r="D72" s="7">
        <v>442.1</v>
      </c>
      <c r="E72" s="7">
        <v>129728.9</v>
      </c>
      <c r="F72" s="7">
        <v>475211.4</v>
      </c>
      <c r="G72" s="5">
        <v>4</v>
      </c>
    </row>
    <row r="73" spans="1:7" x14ac:dyDescent="0.2">
      <c r="A73" s="5">
        <v>71</v>
      </c>
      <c r="B73" s="7">
        <v>129257</v>
      </c>
      <c r="C73" s="7">
        <v>475265</v>
      </c>
      <c r="D73" s="7">
        <v>474.3</v>
      </c>
      <c r="E73" s="7">
        <v>129724.7</v>
      </c>
      <c r="F73" s="7">
        <v>475186</v>
      </c>
      <c r="G73" s="5">
        <v>4</v>
      </c>
    </row>
    <row r="74" spans="1:7" x14ac:dyDescent="0.2">
      <c r="A74" s="5">
        <v>72</v>
      </c>
      <c r="B74" s="7">
        <v>129811</v>
      </c>
      <c r="C74" s="7">
        <v>475136</v>
      </c>
      <c r="D74" s="7">
        <v>93.5</v>
      </c>
      <c r="E74" s="7">
        <v>129718.8</v>
      </c>
      <c r="F74" s="7">
        <v>475151.6</v>
      </c>
      <c r="G74" s="5">
        <v>5</v>
      </c>
    </row>
    <row r="75" spans="1:7" x14ac:dyDescent="0.2">
      <c r="A75" s="5">
        <v>73</v>
      </c>
      <c r="B75" s="7">
        <v>129778</v>
      </c>
      <c r="C75" s="7">
        <v>474923</v>
      </c>
      <c r="D75" s="7">
        <v>96.4</v>
      </c>
      <c r="E75" s="7">
        <v>129682.9</v>
      </c>
      <c r="F75" s="7">
        <v>474939.1</v>
      </c>
      <c r="G75" s="5">
        <v>5</v>
      </c>
    </row>
    <row r="76" spans="1:7" x14ac:dyDescent="0.2">
      <c r="A76" s="5">
        <v>74</v>
      </c>
      <c r="B76" s="7">
        <v>129812</v>
      </c>
      <c r="C76" s="7">
        <v>474987</v>
      </c>
      <c r="D76" s="7">
        <v>119.3</v>
      </c>
      <c r="E76" s="7">
        <v>129694.39999999999</v>
      </c>
      <c r="F76" s="7">
        <v>475006.9</v>
      </c>
      <c r="G76" s="5">
        <v>5</v>
      </c>
    </row>
    <row r="77" spans="1:7" x14ac:dyDescent="0.2">
      <c r="A77" s="5">
        <v>75</v>
      </c>
      <c r="B77" s="7">
        <v>129760</v>
      </c>
      <c r="C77" s="7">
        <v>474653</v>
      </c>
      <c r="D77" s="7">
        <v>123.9</v>
      </c>
      <c r="E77" s="7">
        <v>129637.9</v>
      </c>
      <c r="F77" s="7">
        <v>474674.1</v>
      </c>
      <c r="G77" s="5">
        <v>5</v>
      </c>
    </row>
    <row r="78" spans="1:7" x14ac:dyDescent="0.2">
      <c r="A78" s="5">
        <v>76</v>
      </c>
      <c r="B78" s="7">
        <v>129833</v>
      </c>
      <c r="C78" s="7">
        <v>475080</v>
      </c>
      <c r="D78" s="7">
        <v>124.5</v>
      </c>
      <c r="E78" s="7">
        <v>129710.2</v>
      </c>
      <c r="F78" s="7">
        <v>475100.7</v>
      </c>
      <c r="G78" s="5">
        <v>5</v>
      </c>
    </row>
    <row r="79" spans="1:7" x14ac:dyDescent="0.2">
      <c r="A79" s="5">
        <v>77</v>
      </c>
      <c r="B79" s="7">
        <v>129856</v>
      </c>
      <c r="C79" s="7">
        <v>475117</v>
      </c>
      <c r="D79" s="7">
        <v>141</v>
      </c>
      <c r="E79" s="7">
        <v>129717</v>
      </c>
      <c r="F79" s="7">
        <v>475140.5</v>
      </c>
      <c r="G79" s="5">
        <v>5</v>
      </c>
    </row>
    <row r="80" spans="1:7" x14ac:dyDescent="0.2">
      <c r="A80" s="5">
        <v>78</v>
      </c>
      <c r="B80" s="7">
        <v>129541</v>
      </c>
      <c r="C80" s="7">
        <v>475052</v>
      </c>
      <c r="D80" s="7">
        <v>158.80000000000001</v>
      </c>
      <c r="E80" s="7">
        <v>129697.60000000001</v>
      </c>
      <c r="F80" s="7">
        <v>475025.6</v>
      </c>
      <c r="G80" s="5">
        <v>5</v>
      </c>
    </row>
    <row r="81" spans="1:7" x14ac:dyDescent="0.2">
      <c r="A81" s="5">
        <v>79</v>
      </c>
      <c r="B81" s="7">
        <v>129862</v>
      </c>
      <c r="C81" s="7">
        <v>475037</v>
      </c>
      <c r="D81" s="7">
        <v>160.19999999999999</v>
      </c>
      <c r="E81" s="7">
        <v>129704</v>
      </c>
      <c r="F81" s="7">
        <v>475063.7</v>
      </c>
      <c r="G81" s="5">
        <v>5</v>
      </c>
    </row>
    <row r="82" spans="1:7" x14ac:dyDescent="0.2">
      <c r="A82" s="5">
        <v>80</v>
      </c>
      <c r="B82" s="7">
        <v>129866</v>
      </c>
      <c r="C82" s="7">
        <v>474988</v>
      </c>
      <c r="D82" s="7">
        <v>172.3</v>
      </c>
      <c r="E82" s="7">
        <v>129696.1</v>
      </c>
      <c r="F82" s="7">
        <v>475016.7</v>
      </c>
      <c r="G82" s="5">
        <v>5</v>
      </c>
    </row>
    <row r="83" spans="1:7" x14ac:dyDescent="0.2">
      <c r="A83" s="5">
        <v>81</v>
      </c>
      <c r="B83" s="7">
        <v>129541</v>
      </c>
      <c r="C83" s="7">
        <v>475142</v>
      </c>
      <c r="D83" s="7">
        <v>173.8</v>
      </c>
      <c r="E83" s="7">
        <v>129712.3</v>
      </c>
      <c r="F83" s="7">
        <v>475113.1</v>
      </c>
      <c r="G83" s="5">
        <v>5</v>
      </c>
    </row>
    <row r="84" spans="1:7" x14ac:dyDescent="0.2">
      <c r="A84" s="5">
        <v>82</v>
      </c>
      <c r="B84" s="7">
        <v>129502</v>
      </c>
      <c r="C84" s="7">
        <v>475116</v>
      </c>
      <c r="D84" s="7">
        <v>207.9</v>
      </c>
      <c r="E84" s="7">
        <v>129707</v>
      </c>
      <c r="F84" s="7">
        <v>475081.4</v>
      </c>
      <c r="G84" s="5">
        <v>5</v>
      </c>
    </row>
    <row r="85" spans="1:7" x14ac:dyDescent="0.2">
      <c r="A85" s="5">
        <v>83</v>
      </c>
      <c r="B85" s="7">
        <v>129493</v>
      </c>
      <c r="C85" s="7">
        <v>475075</v>
      </c>
      <c r="D85" s="7">
        <v>209.9</v>
      </c>
      <c r="E85" s="7">
        <v>129700</v>
      </c>
      <c r="F85" s="7">
        <v>475040</v>
      </c>
      <c r="G85" s="5">
        <v>5</v>
      </c>
    </row>
    <row r="86" spans="1:7" x14ac:dyDescent="0.2">
      <c r="A86" s="5">
        <v>84</v>
      </c>
      <c r="B86" s="7">
        <v>129503</v>
      </c>
      <c r="C86" s="7">
        <v>475170</v>
      </c>
      <c r="D86" s="7">
        <v>215.9</v>
      </c>
      <c r="E86" s="7">
        <v>129715.9</v>
      </c>
      <c r="F86" s="7">
        <v>475134</v>
      </c>
      <c r="G86" s="5">
        <v>5</v>
      </c>
    </row>
    <row r="87" spans="1:7" x14ac:dyDescent="0.2">
      <c r="A87" s="5">
        <v>85</v>
      </c>
      <c r="B87" s="7">
        <v>129857</v>
      </c>
      <c r="C87" s="7">
        <v>474650</v>
      </c>
      <c r="D87" s="7">
        <v>220</v>
      </c>
      <c r="E87" s="7">
        <v>129640.2</v>
      </c>
      <c r="F87" s="7">
        <v>474687.5</v>
      </c>
      <c r="G87" s="5">
        <v>5</v>
      </c>
    </row>
    <row r="88" spans="1:7" x14ac:dyDescent="0.2">
      <c r="A88" s="5">
        <v>86</v>
      </c>
      <c r="B88" s="7">
        <v>129448</v>
      </c>
      <c r="C88" s="7">
        <v>474892</v>
      </c>
      <c r="D88" s="7">
        <v>223.8</v>
      </c>
      <c r="E88" s="7">
        <v>129668.7</v>
      </c>
      <c r="F88" s="7">
        <v>474854.7</v>
      </c>
      <c r="G88" s="5">
        <v>5</v>
      </c>
    </row>
    <row r="89" spans="1:7" x14ac:dyDescent="0.2">
      <c r="A89" s="5">
        <v>87</v>
      </c>
      <c r="B89" s="7">
        <v>129448</v>
      </c>
      <c r="C89" s="7">
        <v>474946</v>
      </c>
      <c r="D89" s="7">
        <v>232.8</v>
      </c>
      <c r="E89" s="7">
        <v>129677.6</v>
      </c>
      <c r="F89" s="7">
        <v>474907.2</v>
      </c>
      <c r="G89" s="5">
        <v>5</v>
      </c>
    </row>
    <row r="90" spans="1:7" x14ac:dyDescent="0.2">
      <c r="A90" s="5">
        <v>88</v>
      </c>
      <c r="B90" s="7">
        <v>129459</v>
      </c>
      <c r="C90" s="7">
        <v>475021</v>
      </c>
      <c r="D90" s="7">
        <v>234.5</v>
      </c>
      <c r="E90" s="7">
        <v>129690.2</v>
      </c>
      <c r="F90" s="7">
        <v>474982</v>
      </c>
      <c r="G90" s="5">
        <v>5</v>
      </c>
    </row>
    <row r="91" spans="1:7" x14ac:dyDescent="0.2">
      <c r="A91" s="5">
        <v>89</v>
      </c>
      <c r="B91" s="7">
        <v>129455</v>
      </c>
      <c r="C91" s="7">
        <v>475091</v>
      </c>
      <c r="D91" s="7">
        <v>250.1</v>
      </c>
      <c r="E91" s="7">
        <v>129701.6</v>
      </c>
      <c r="F91" s="7">
        <v>475049.4</v>
      </c>
      <c r="G91" s="5">
        <v>5</v>
      </c>
    </row>
    <row r="92" spans="1:7" x14ac:dyDescent="0.2">
      <c r="A92" s="5">
        <v>90</v>
      </c>
      <c r="B92" s="7">
        <v>129462</v>
      </c>
      <c r="C92" s="7">
        <v>475175</v>
      </c>
      <c r="D92" s="7">
        <v>257.2</v>
      </c>
      <c r="E92" s="7">
        <v>129715.6</v>
      </c>
      <c r="F92" s="7">
        <v>475132.2</v>
      </c>
      <c r="G92" s="5">
        <v>5</v>
      </c>
    </row>
    <row r="93" spans="1:7" x14ac:dyDescent="0.2">
      <c r="A93" s="5">
        <v>91</v>
      </c>
      <c r="B93" s="7">
        <v>129906</v>
      </c>
      <c r="C93" s="7">
        <v>474702</v>
      </c>
      <c r="D93" s="7">
        <v>259.39999999999998</v>
      </c>
      <c r="E93" s="7">
        <v>129650.2</v>
      </c>
      <c r="F93" s="7">
        <v>474745.2</v>
      </c>
      <c r="G93" s="5">
        <v>5</v>
      </c>
    </row>
    <row r="94" spans="1:7" x14ac:dyDescent="0.2">
      <c r="A94" s="5">
        <v>92</v>
      </c>
      <c r="B94" s="7">
        <v>129421</v>
      </c>
      <c r="C94" s="7">
        <v>475158</v>
      </c>
      <c r="D94" s="7">
        <v>294.7</v>
      </c>
      <c r="E94" s="7">
        <v>129711.6</v>
      </c>
      <c r="F94" s="7">
        <v>475108.9</v>
      </c>
      <c r="G94" s="5">
        <v>5</v>
      </c>
    </row>
    <row r="95" spans="1:7" x14ac:dyDescent="0.2">
      <c r="A95" s="5">
        <v>93</v>
      </c>
      <c r="B95" s="7">
        <v>129411</v>
      </c>
      <c r="C95" s="7">
        <v>475134</v>
      </c>
      <c r="D95" s="7">
        <v>300.60000000000002</v>
      </c>
      <c r="E95" s="7">
        <v>129707.4</v>
      </c>
      <c r="F95" s="7">
        <v>475083.9</v>
      </c>
      <c r="G95" s="5">
        <v>5</v>
      </c>
    </row>
    <row r="96" spans="1:7" x14ac:dyDescent="0.2">
      <c r="A96" s="5">
        <v>94</v>
      </c>
      <c r="B96" s="7">
        <v>130031</v>
      </c>
      <c r="C96" s="7">
        <v>475178</v>
      </c>
      <c r="D96" s="7">
        <v>303.39999999999998</v>
      </c>
      <c r="E96" s="7">
        <v>129731.8</v>
      </c>
      <c r="F96" s="7">
        <v>475228.5</v>
      </c>
      <c r="G96" s="5">
        <v>5</v>
      </c>
    </row>
    <row r="97" spans="1:7" x14ac:dyDescent="0.2">
      <c r="A97" s="5">
        <v>95</v>
      </c>
      <c r="B97" s="7">
        <v>128908</v>
      </c>
      <c r="C97" s="7">
        <v>474710</v>
      </c>
      <c r="D97" s="7">
        <v>725.3</v>
      </c>
      <c r="E97" s="7">
        <v>129622.7</v>
      </c>
      <c r="F97" s="7">
        <v>474586.2</v>
      </c>
      <c r="G97" s="5">
        <v>5</v>
      </c>
    </row>
    <row r="98" spans="1:7" x14ac:dyDescent="0.2">
      <c r="A98" s="5">
        <v>96</v>
      </c>
      <c r="B98" s="7">
        <v>128673</v>
      </c>
      <c r="C98" s="7">
        <v>474700</v>
      </c>
      <c r="D98" s="7">
        <v>955.2</v>
      </c>
      <c r="E98" s="7">
        <v>129614.2</v>
      </c>
      <c r="F98" s="7">
        <v>474537</v>
      </c>
      <c r="G98" s="5">
        <v>5</v>
      </c>
    </row>
    <row r="99" spans="1:7" x14ac:dyDescent="0.2">
      <c r="A99" s="5">
        <v>97</v>
      </c>
      <c r="B99" s="7">
        <v>129524</v>
      </c>
      <c r="C99" s="7">
        <v>474445</v>
      </c>
      <c r="D99" s="7">
        <v>73.099999999999994</v>
      </c>
      <c r="E99" s="7">
        <v>129596.1</v>
      </c>
      <c r="F99" s="7">
        <v>474432.5</v>
      </c>
      <c r="G99" s="5">
        <v>6</v>
      </c>
    </row>
    <row r="100" spans="1:7" x14ac:dyDescent="0.2">
      <c r="A100" s="5">
        <v>98</v>
      </c>
      <c r="B100" s="7">
        <v>129649</v>
      </c>
      <c r="C100" s="7">
        <v>474217</v>
      </c>
      <c r="D100" s="7">
        <v>88.9</v>
      </c>
      <c r="E100" s="7">
        <v>129561.4</v>
      </c>
      <c r="F100" s="7">
        <v>474232.2</v>
      </c>
      <c r="G100" s="5">
        <v>6</v>
      </c>
    </row>
    <row r="101" spans="1:7" x14ac:dyDescent="0.2">
      <c r="A101" s="5">
        <v>99</v>
      </c>
      <c r="B101" s="7">
        <v>129659</v>
      </c>
      <c r="C101" s="7">
        <v>474153</v>
      </c>
      <c r="D101" s="7">
        <v>109.7</v>
      </c>
      <c r="E101" s="7">
        <v>129550.9</v>
      </c>
      <c r="F101" s="7">
        <v>474171.7</v>
      </c>
      <c r="G101" s="5">
        <v>6</v>
      </c>
    </row>
    <row r="102" spans="1:7" x14ac:dyDescent="0.2">
      <c r="A102" s="5">
        <v>100</v>
      </c>
      <c r="B102" s="7">
        <v>129694</v>
      </c>
      <c r="C102" s="7">
        <v>474235</v>
      </c>
      <c r="D102" s="7">
        <v>130.19999999999999</v>
      </c>
      <c r="E102" s="7">
        <v>129565.7</v>
      </c>
      <c r="F102" s="7">
        <v>474257.2</v>
      </c>
      <c r="G102" s="5">
        <v>6</v>
      </c>
    </row>
    <row r="103" spans="1:7" x14ac:dyDescent="0.2">
      <c r="A103" s="5">
        <v>101</v>
      </c>
      <c r="B103" s="7">
        <v>129378</v>
      </c>
      <c r="C103" s="7">
        <v>473986</v>
      </c>
      <c r="D103" s="7">
        <v>138.69999999999999</v>
      </c>
      <c r="E103" s="7">
        <v>129514.6</v>
      </c>
      <c r="F103" s="7">
        <v>473962.3</v>
      </c>
      <c r="G103" s="5">
        <v>6</v>
      </c>
    </row>
    <row r="104" spans="1:7" x14ac:dyDescent="0.2">
      <c r="A104" s="5">
        <v>102</v>
      </c>
      <c r="B104" s="7">
        <v>129381</v>
      </c>
      <c r="C104" s="7">
        <v>474016</v>
      </c>
      <c r="D104" s="7">
        <v>140.80000000000001</v>
      </c>
      <c r="E104" s="7">
        <v>129519.8</v>
      </c>
      <c r="F104" s="7">
        <v>473992</v>
      </c>
      <c r="G104" s="5">
        <v>6</v>
      </c>
    </row>
    <row r="105" spans="1:7" x14ac:dyDescent="0.2">
      <c r="A105" s="5">
        <v>103</v>
      </c>
      <c r="B105" s="7">
        <v>129381</v>
      </c>
      <c r="C105" s="7">
        <v>474055</v>
      </c>
      <c r="D105" s="7">
        <v>147.5</v>
      </c>
      <c r="E105" s="7">
        <v>129526.3</v>
      </c>
      <c r="F105" s="7">
        <v>474029.8</v>
      </c>
      <c r="G105" s="5">
        <v>6</v>
      </c>
    </row>
    <row r="106" spans="1:7" x14ac:dyDescent="0.2">
      <c r="A106" s="5">
        <v>104</v>
      </c>
      <c r="B106" s="7">
        <v>129701</v>
      </c>
      <c r="C106" s="7">
        <v>474153</v>
      </c>
      <c r="D106" s="7">
        <v>151.1</v>
      </c>
      <c r="E106" s="7">
        <v>129552.1</v>
      </c>
      <c r="F106" s="7">
        <v>474178.8</v>
      </c>
      <c r="G106" s="5">
        <v>6</v>
      </c>
    </row>
    <row r="107" spans="1:7" x14ac:dyDescent="0.2">
      <c r="A107" s="5">
        <v>105</v>
      </c>
      <c r="B107" s="7">
        <v>129390</v>
      </c>
      <c r="C107" s="7">
        <v>474155</v>
      </c>
      <c r="D107" s="7">
        <v>155.69999999999999</v>
      </c>
      <c r="E107" s="7">
        <v>129543.4</v>
      </c>
      <c r="F107" s="7">
        <v>474128.4</v>
      </c>
      <c r="G107" s="5">
        <v>6</v>
      </c>
    </row>
    <row r="108" spans="1:7" x14ac:dyDescent="0.2">
      <c r="A108" s="5">
        <v>106</v>
      </c>
      <c r="B108" s="7">
        <v>129392</v>
      </c>
      <c r="C108" s="7">
        <v>474232</v>
      </c>
      <c r="D108" s="7">
        <v>166.9</v>
      </c>
      <c r="E108" s="7">
        <v>129556.4</v>
      </c>
      <c r="F108" s="7">
        <v>474203.5</v>
      </c>
      <c r="G108" s="5">
        <v>6</v>
      </c>
    </row>
    <row r="109" spans="1:7" x14ac:dyDescent="0.2">
      <c r="A109" s="5">
        <v>107</v>
      </c>
      <c r="B109" s="7">
        <v>129404</v>
      </c>
      <c r="C109" s="7">
        <v>474332</v>
      </c>
      <c r="D109" s="7">
        <v>172.1</v>
      </c>
      <c r="E109" s="7">
        <v>129573.6</v>
      </c>
      <c r="F109" s="7">
        <v>474302.6</v>
      </c>
      <c r="G109" s="5">
        <v>6</v>
      </c>
    </row>
    <row r="110" spans="1:7" x14ac:dyDescent="0.2">
      <c r="A110" s="5">
        <v>108</v>
      </c>
      <c r="B110" s="7">
        <v>129394</v>
      </c>
      <c r="C110" s="7">
        <v>474284</v>
      </c>
      <c r="D110" s="7">
        <v>173.8</v>
      </c>
      <c r="E110" s="7">
        <v>129565.2</v>
      </c>
      <c r="F110" s="7">
        <v>474254.4</v>
      </c>
      <c r="G110" s="5">
        <v>6</v>
      </c>
    </row>
    <row r="111" spans="1:7" x14ac:dyDescent="0.2">
      <c r="A111" s="5">
        <v>109</v>
      </c>
      <c r="B111" s="7">
        <v>129409</v>
      </c>
      <c r="C111" s="7">
        <v>474376</v>
      </c>
      <c r="D111" s="7">
        <v>174.7</v>
      </c>
      <c r="E111" s="7">
        <v>129581.1</v>
      </c>
      <c r="F111" s="7">
        <v>474346.2</v>
      </c>
      <c r="G111" s="5">
        <v>6</v>
      </c>
    </row>
    <row r="112" spans="1:7" x14ac:dyDescent="0.2">
      <c r="A112" s="5">
        <v>110</v>
      </c>
      <c r="B112" s="7">
        <v>129421</v>
      </c>
      <c r="C112" s="7">
        <v>474463</v>
      </c>
      <c r="D112" s="7">
        <v>177.7</v>
      </c>
      <c r="E112" s="7">
        <v>129596.1</v>
      </c>
      <c r="F112" s="7">
        <v>474432.7</v>
      </c>
      <c r="G112" s="5">
        <v>6</v>
      </c>
    </row>
    <row r="113" spans="1:7" x14ac:dyDescent="0.2">
      <c r="A113" s="5">
        <v>111</v>
      </c>
      <c r="B113" s="7">
        <v>129413</v>
      </c>
      <c r="C113" s="7">
        <v>474427</v>
      </c>
      <c r="D113" s="7">
        <v>179.4</v>
      </c>
      <c r="E113" s="7">
        <v>129589.8</v>
      </c>
      <c r="F113" s="7">
        <v>474396.4</v>
      </c>
      <c r="G113" s="5">
        <v>6</v>
      </c>
    </row>
    <row r="114" spans="1:7" x14ac:dyDescent="0.2">
      <c r="A114" s="5">
        <v>112</v>
      </c>
      <c r="B114" s="7">
        <v>129420</v>
      </c>
      <c r="C114" s="7">
        <v>474502</v>
      </c>
      <c r="D114" s="7">
        <v>185.3</v>
      </c>
      <c r="E114" s="7">
        <v>129602.6</v>
      </c>
      <c r="F114" s="7">
        <v>474470.40000000002</v>
      </c>
      <c r="G114" s="5">
        <v>6</v>
      </c>
    </row>
    <row r="115" spans="1:7" x14ac:dyDescent="0.2">
      <c r="A115" s="5">
        <v>113</v>
      </c>
      <c r="B115" s="7">
        <v>129754</v>
      </c>
      <c r="C115" s="7">
        <v>474256</v>
      </c>
      <c r="D115" s="7">
        <v>185.7</v>
      </c>
      <c r="E115" s="7">
        <v>129571</v>
      </c>
      <c r="F115" s="7">
        <v>474287.7</v>
      </c>
      <c r="G115" s="5">
        <v>6</v>
      </c>
    </row>
    <row r="116" spans="1:7" x14ac:dyDescent="0.2">
      <c r="A116" s="5">
        <v>114</v>
      </c>
      <c r="B116" s="7">
        <v>129820</v>
      </c>
      <c r="C116" s="7">
        <v>474568</v>
      </c>
      <c r="D116" s="7">
        <v>197.5</v>
      </c>
      <c r="E116" s="7">
        <v>129625.4</v>
      </c>
      <c r="F116" s="7">
        <v>474601.7</v>
      </c>
      <c r="G116" s="5">
        <v>6</v>
      </c>
    </row>
    <row r="117" spans="1:7" x14ac:dyDescent="0.2">
      <c r="A117" s="5">
        <v>115</v>
      </c>
      <c r="B117" s="7">
        <v>129759</v>
      </c>
      <c r="C117" s="7">
        <v>474169</v>
      </c>
      <c r="D117" s="7">
        <v>205.5</v>
      </c>
      <c r="E117" s="7">
        <v>129556.5</v>
      </c>
      <c r="F117" s="7">
        <v>474204.1</v>
      </c>
      <c r="G117" s="5">
        <v>6</v>
      </c>
    </row>
    <row r="118" spans="1:7" x14ac:dyDescent="0.2">
      <c r="A118" s="5">
        <v>116</v>
      </c>
      <c r="B118" s="7">
        <v>129857</v>
      </c>
      <c r="C118" s="7">
        <v>474583</v>
      </c>
      <c r="D118" s="7">
        <v>231.4</v>
      </c>
      <c r="E118" s="7">
        <v>129629</v>
      </c>
      <c r="F118" s="7">
        <v>474622.5</v>
      </c>
      <c r="G118" s="5">
        <v>6</v>
      </c>
    </row>
    <row r="119" spans="1:7" x14ac:dyDescent="0.2">
      <c r="A119" s="5">
        <v>117</v>
      </c>
      <c r="B119" s="7">
        <v>129845</v>
      </c>
      <c r="C119" s="7">
        <v>474270</v>
      </c>
      <c r="D119" s="7">
        <v>273</v>
      </c>
      <c r="E119" s="7">
        <v>129576</v>
      </c>
      <c r="F119" s="7">
        <v>474316.6</v>
      </c>
      <c r="G119" s="5">
        <v>6</v>
      </c>
    </row>
    <row r="120" spans="1:7" x14ac:dyDescent="0.2">
      <c r="A120" s="5">
        <v>118</v>
      </c>
      <c r="B120" s="7">
        <v>129837</v>
      </c>
      <c r="C120" s="7">
        <v>474184</v>
      </c>
      <c r="D120" s="7">
        <v>279.8</v>
      </c>
      <c r="E120" s="7">
        <v>129561.3</v>
      </c>
      <c r="F120" s="7">
        <v>474231.7</v>
      </c>
      <c r="G120" s="5">
        <v>6</v>
      </c>
    </row>
    <row r="121" spans="1:7" x14ac:dyDescent="0.2">
      <c r="A121" s="5">
        <v>119</v>
      </c>
      <c r="B121" s="7">
        <v>129857</v>
      </c>
      <c r="C121" s="7">
        <v>474206</v>
      </c>
      <c r="D121" s="7">
        <v>295.8</v>
      </c>
      <c r="E121" s="7">
        <v>129565.6</v>
      </c>
      <c r="F121" s="7">
        <v>474256.5</v>
      </c>
      <c r="G121" s="5">
        <v>6</v>
      </c>
    </row>
    <row r="122" spans="1:7" x14ac:dyDescent="0.2">
      <c r="A122" s="5">
        <v>120</v>
      </c>
      <c r="B122" s="7">
        <v>129895</v>
      </c>
      <c r="C122" s="7">
        <v>474206</v>
      </c>
      <c r="D122" s="7">
        <v>333.2</v>
      </c>
      <c r="E122" s="7">
        <v>129566.7</v>
      </c>
      <c r="F122" s="7">
        <v>474262.9</v>
      </c>
      <c r="G122" s="5">
        <v>6</v>
      </c>
    </row>
  </sheetData>
  <sortState xmlns:xlrd2="http://schemas.microsoft.com/office/spreadsheetml/2017/richdata2" ref="A2:G122">
    <sortCondition ref="G2:G122"/>
    <sortCondition ref="D2:D12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4B46-5E34-3D45-A366-6036CFA976BB}">
  <dimension ref="A1:D14"/>
  <sheetViews>
    <sheetView workbookViewId="0"/>
  </sheetViews>
  <sheetFormatPr baseColWidth="10" defaultRowHeight="16" x14ac:dyDescent="0.2"/>
  <sheetData>
    <row r="1" spans="1:4" x14ac:dyDescent="0.2">
      <c r="A1" t="s">
        <v>9</v>
      </c>
      <c r="B1" t="s">
        <v>115</v>
      </c>
      <c r="C1" t="s">
        <v>116</v>
      </c>
      <c r="D1" t="s">
        <v>117</v>
      </c>
    </row>
    <row r="2" spans="1:4" x14ac:dyDescent="0.2">
      <c r="A2">
        <v>1</v>
      </c>
      <c r="B2">
        <v>478867</v>
      </c>
      <c r="C2">
        <v>478992</v>
      </c>
      <c r="D2">
        <v>478163</v>
      </c>
    </row>
    <row r="3" spans="1:4" x14ac:dyDescent="0.2">
      <c r="A3">
        <v>2</v>
      </c>
      <c r="B3">
        <v>477459</v>
      </c>
      <c r="C3">
        <v>478163</v>
      </c>
      <c r="D3">
        <v>476688.5</v>
      </c>
    </row>
    <row r="4" spans="1:4" x14ac:dyDescent="0.2">
      <c r="A4">
        <v>3</v>
      </c>
      <c r="B4">
        <v>475918</v>
      </c>
      <c r="C4">
        <v>476688.5</v>
      </c>
      <c r="D4">
        <v>475642.5</v>
      </c>
    </row>
    <row r="5" spans="1:4" x14ac:dyDescent="0.2">
      <c r="A5">
        <v>4</v>
      </c>
      <c r="B5">
        <v>475367</v>
      </c>
      <c r="C5">
        <v>475642.5</v>
      </c>
      <c r="D5">
        <v>475200</v>
      </c>
    </row>
    <row r="6" spans="1:4" x14ac:dyDescent="0.2">
      <c r="A6">
        <v>5</v>
      </c>
      <c r="B6">
        <v>475033</v>
      </c>
      <c r="C6">
        <v>475200</v>
      </c>
      <c r="D6">
        <v>474588.5</v>
      </c>
    </row>
    <row r="7" spans="1:4" x14ac:dyDescent="0.2">
      <c r="A7">
        <v>6</v>
      </c>
      <c r="B7">
        <v>474144</v>
      </c>
      <c r="C7">
        <v>474588.5</v>
      </c>
      <c r="D7">
        <v>473750.5</v>
      </c>
    </row>
    <row r="8" spans="1:4" x14ac:dyDescent="0.2">
      <c r="A8">
        <v>7</v>
      </c>
      <c r="B8">
        <v>473357</v>
      </c>
      <c r="C8">
        <v>473750.5</v>
      </c>
      <c r="D8">
        <v>473105.5</v>
      </c>
    </row>
    <row r="9" spans="1:4" x14ac:dyDescent="0.2">
      <c r="A9">
        <v>8</v>
      </c>
      <c r="B9">
        <v>472854</v>
      </c>
      <c r="C9">
        <v>473105.5</v>
      </c>
      <c r="D9">
        <v>472383</v>
      </c>
    </row>
    <row r="10" spans="1:4" x14ac:dyDescent="0.2">
      <c r="A10">
        <v>9</v>
      </c>
      <c r="B10">
        <v>471912</v>
      </c>
      <c r="C10">
        <v>472383</v>
      </c>
      <c r="D10">
        <v>471028</v>
      </c>
    </row>
    <row r="11" spans="1:4" x14ac:dyDescent="0.2">
      <c r="A11">
        <v>10</v>
      </c>
      <c r="B11">
        <v>470144</v>
      </c>
      <c r="C11">
        <v>471028</v>
      </c>
      <c r="D11">
        <v>469836</v>
      </c>
    </row>
    <row r="12" spans="1:4" x14ac:dyDescent="0.2">
      <c r="A12">
        <v>11</v>
      </c>
      <c r="B12">
        <v>469528</v>
      </c>
      <c r="C12">
        <v>469836</v>
      </c>
      <c r="D12">
        <v>469043.5</v>
      </c>
    </row>
    <row r="13" spans="1:4" x14ac:dyDescent="0.2">
      <c r="A13">
        <v>12</v>
      </c>
      <c r="B13">
        <v>468559</v>
      </c>
      <c r="C13">
        <v>469043.5</v>
      </c>
      <c r="D13">
        <v>467805.5</v>
      </c>
    </row>
    <row r="14" spans="1:4" x14ac:dyDescent="0.2">
      <c r="A14">
        <v>13</v>
      </c>
      <c r="B14">
        <v>467052</v>
      </c>
      <c r="C14">
        <v>467805.5</v>
      </c>
      <c r="D14">
        <v>466927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pbTauw</vt:lpstr>
      <vt:lpstr>calibfation_raai6</vt:lpstr>
      <vt:lpstr>tempvariatie</vt:lpstr>
      <vt:lpstr>Sheet1</vt:lpstr>
      <vt:lpstr>pbKanaal</vt:lpstr>
      <vt:lpstr>joined</vt:lpstr>
      <vt:lpstr>Sheet2</vt:lpstr>
      <vt:lpstr>laagopbouw</vt:lpstr>
      <vt:lpstr>wellen</vt:lpstr>
      <vt:lpstr>raaien</vt:lpstr>
      <vt:lpstr>yyy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Olsthoorn</dc:creator>
  <cp:lastModifiedBy>Theo Olsthoorn</cp:lastModifiedBy>
  <dcterms:created xsi:type="dcterms:W3CDTF">2026-05-31T21:25:10Z</dcterms:created>
  <dcterms:modified xsi:type="dcterms:W3CDTF">2026-06-11T01:20:20Z</dcterms:modified>
</cp:coreProperties>
</file>