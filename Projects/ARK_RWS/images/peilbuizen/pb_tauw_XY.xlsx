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heo/Development/python/mf6_tools/mf6lab/Projects/ARK_RWS/images/peilbuizen/"/>
    </mc:Choice>
  </mc:AlternateContent>
  <xr:revisionPtr revIDLastSave="0" documentId="13_ncr:1_{90EF5F07-E3D4-154B-B24F-5834BC2E0EF9}" xr6:coauthVersionLast="47" xr6:coauthVersionMax="47" xr10:uidLastSave="{00000000-0000-0000-0000-000000000000}"/>
  <bookViews>
    <workbookView xWindow="8160" yWindow="11880" windowWidth="25340" windowHeight="20720" activeTab="4" xr2:uid="{E4383F88-647D-C347-BE79-FF24D0CA7E92}"/>
  </bookViews>
  <sheets>
    <sheet name="pbTauw" sheetId="1" r:id="rId1"/>
    <sheet name="pbKanaal" sheetId="3" r:id="rId2"/>
    <sheet name="joined" sheetId="5" r:id="rId3"/>
    <sheet name="Sheet2" sheetId="4" r:id="rId4"/>
    <sheet name="laagopbouw" sheetId="6" r:id="rId5"/>
  </sheets>
  <definedNames>
    <definedName name="yyy" comment="Tijden en waarden van de stijghoogten gemiddeld over ca. 1 maand">Sheet2!$A$1:$G$67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3" i="6" l="1"/>
  <c r="G3" i="6"/>
  <c r="F4" i="6"/>
  <c r="G4" i="6"/>
  <c r="F5" i="6"/>
  <c r="G5" i="6"/>
  <c r="F6" i="6"/>
  <c r="G6" i="6"/>
  <c r="G2" i="6"/>
  <c r="F2" i="6"/>
  <c r="C6" i="6"/>
  <c r="B3" i="6"/>
  <c r="B4" i="6"/>
  <c r="B5" i="6"/>
  <c r="B2" i="6"/>
  <c r="N4" i="3"/>
  <c r="N5" i="3"/>
  <c r="N6" i="3"/>
  <c r="N7" i="3"/>
  <c r="N8" i="3"/>
  <c r="N9" i="3"/>
  <c r="N10" i="3"/>
  <c r="N11" i="3"/>
  <c r="N3" i="3"/>
  <c r="N2" i="3"/>
  <c r="L3" i="1"/>
  <c r="M3" i="1"/>
  <c r="N3" i="1"/>
  <c r="L4" i="1"/>
  <c r="M4" i="1"/>
  <c r="N4" i="1"/>
  <c r="L5" i="1"/>
  <c r="M5" i="1"/>
  <c r="N5" i="1"/>
  <c r="L6" i="1"/>
  <c r="M6" i="1"/>
  <c r="N6" i="1"/>
  <c r="L7" i="1"/>
  <c r="M7" i="1"/>
  <c r="N7" i="1"/>
  <c r="L8" i="1"/>
  <c r="M8" i="1"/>
  <c r="N8" i="1"/>
  <c r="L9" i="1"/>
  <c r="M9" i="1"/>
  <c r="N9" i="1"/>
  <c r="L10" i="1"/>
  <c r="M10" i="1"/>
  <c r="N10" i="1"/>
  <c r="L11" i="1"/>
  <c r="M11" i="1"/>
  <c r="N11" i="1"/>
  <c r="L12" i="1"/>
  <c r="M12" i="1"/>
  <c r="N12" i="1"/>
  <c r="L13" i="1"/>
  <c r="M13" i="1"/>
  <c r="N13" i="1"/>
  <c r="L14" i="1"/>
  <c r="M14" i="1"/>
  <c r="N14" i="1"/>
  <c r="L15" i="1"/>
  <c r="M15" i="1"/>
  <c r="N15" i="1"/>
  <c r="L16" i="1"/>
  <c r="M16" i="1"/>
  <c r="N16" i="1"/>
  <c r="L17" i="1"/>
  <c r="M17" i="1"/>
  <c r="N17" i="1"/>
  <c r="L18" i="1"/>
  <c r="M18" i="1"/>
  <c r="N18" i="1"/>
  <c r="L19" i="1"/>
  <c r="M19" i="1"/>
  <c r="N19" i="1"/>
  <c r="L20" i="1"/>
  <c r="M20" i="1"/>
  <c r="N20" i="1"/>
  <c r="L21" i="1"/>
  <c r="M21" i="1"/>
  <c r="N21" i="1"/>
  <c r="L22" i="1"/>
  <c r="M22" i="1"/>
  <c r="N22" i="1"/>
  <c r="L23" i="1"/>
  <c r="M23" i="1"/>
  <c r="N23" i="1"/>
  <c r="L24" i="1"/>
  <c r="M24" i="1"/>
  <c r="N24" i="1"/>
  <c r="L25" i="1"/>
  <c r="M25" i="1"/>
  <c r="N25" i="1"/>
  <c r="L26" i="1"/>
  <c r="M26" i="1"/>
  <c r="N26" i="1"/>
  <c r="L27" i="1"/>
  <c r="M27" i="1"/>
  <c r="N27" i="1"/>
  <c r="L28" i="1"/>
  <c r="M28" i="1"/>
  <c r="N28" i="1"/>
  <c r="L29" i="1"/>
  <c r="M29" i="1"/>
  <c r="N29" i="1"/>
  <c r="L30" i="1"/>
  <c r="M30" i="1"/>
  <c r="N30" i="1"/>
  <c r="L31" i="1"/>
  <c r="M31" i="1"/>
  <c r="N31" i="1"/>
  <c r="L32" i="1"/>
  <c r="M32" i="1"/>
  <c r="N32" i="1"/>
  <c r="L33" i="1"/>
  <c r="M33" i="1"/>
  <c r="N33" i="1"/>
  <c r="L34" i="1"/>
  <c r="M34" i="1"/>
  <c r="N34" i="1"/>
  <c r="L35" i="1"/>
  <c r="M35" i="1"/>
  <c r="N35" i="1"/>
  <c r="L36" i="1"/>
  <c r="M36" i="1"/>
  <c r="N36" i="1"/>
  <c r="L37" i="1"/>
  <c r="M37" i="1"/>
  <c r="N37" i="1"/>
  <c r="L38" i="1"/>
  <c r="M38" i="1"/>
  <c r="N38" i="1"/>
  <c r="L39" i="1"/>
  <c r="M39" i="1"/>
  <c r="N39" i="1"/>
  <c r="L40" i="1"/>
  <c r="M40" i="1"/>
  <c r="N40" i="1"/>
  <c r="L41" i="1"/>
  <c r="M41" i="1"/>
  <c r="N41" i="1"/>
  <c r="L42" i="1"/>
  <c r="M42" i="1"/>
  <c r="N42" i="1"/>
  <c r="L43" i="1"/>
  <c r="M43" i="1"/>
  <c r="N43" i="1"/>
  <c r="L44" i="1"/>
  <c r="M44" i="1"/>
  <c r="N44" i="1"/>
  <c r="L45" i="1"/>
  <c r="M45" i="1"/>
  <c r="N45" i="1"/>
  <c r="L46" i="1"/>
  <c r="M46" i="1"/>
  <c r="N46" i="1"/>
  <c r="L47" i="1"/>
  <c r="M47" i="1"/>
  <c r="N47" i="1"/>
  <c r="L48" i="1"/>
  <c r="M48" i="1"/>
  <c r="N48" i="1"/>
  <c r="L49" i="1"/>
  <c r="M49" i="1"/>
  <c r="N49" i="1"/>
  <c r="L50" i="1"/>
  <c r="M50" i="1"/>
  <c r="N50" i="1"/>
  <c r="L51" i="1"/>
  <c r="M51" i="1"/>
  <c r="N51" i="1"/>
  <c r="L52" i="1"/>
  <c r="M52" i="1"/>
  <c r="N52" i="1"/>
  <c r="L53" i="1"/>
  <c r="M53" i="1"/>
  <c r="N53" i="1"/>
  <c r="L54" i="1"/>
  <c r="M54" i="1"/>
  <c r="N54" i="1"/>
  <c r="L55" i="1"/>
  <c r="M55" i="1"/>
  <c r="N55" i="1"/>
  <c r="L56" i="1"/>
  <c r="M56" i="1"/>
  <c r="N56" i="1"/>
  <c r="L57" i="1"/>
  <c r="M57" i="1"/>
  <c r="N57" i="1"/>
  <c r="L58" i="1"/>
  <c r="M58" i="1"/>
  <c r="N58" i="1"/>
  <c r="L59" i="1"/>
  <c r="M59" i="1"/>
  <c r="N59" i="1"/>
  <c r="L60" i="1"/>
  <c r="M60" i="1"/>
  <c r="N60" i="1"/>
  <c r="L61" i="1"/>
  <c r="M61" i="1"/>
  <c r="N61" i="1"/>
  <c r="L62" i="1"/>
  <c r="M62" i="1"/>
  <c r="N62" i="1"/>
  <c r="L63" i="1"/>
  <c r="M63" i="1"/>
  <c r="N63" i="1"/>
  <c r="L64" i="1"/>
  <c r="M64" i="1"/>
  <c r="N64" i="1"/>
  <c r="L65" i="1"/>
  <c r="M65" i="1"/>
  <c r="N65" i="1"/>
  <c r="L66" i="1"/>
  <c r="M66" i="1"/>
  <c r="N66" i="1"/>
  <c r="L67" i="1"/>
  <c r="M67" i="1"/>
  <c r="N67" i="1"/>
  <c r="L68" i="1"/>
  <c r="M68" i="1"/>
  <c r="N68" i="1"/>
  <c r="L69" i="1"/>
  <c r="M69" i="1"/>
  <c r="N69" i="1"/>
  <c r="L70" i="1"/>
  <c r="M70" i="1"/>
  <c r="N70" i="1"/>
  <c r="L71" i="1"/>
  <c r="M71" i="1"/>
  <c r="N71" i="1"/>
  <c r="L72" i="1"/>
  <c r="M72" i="1"/>
  <c r="N72" i="1"/>
  <c r="L73" i="1"/>
  <c r="M73" i="1"/>
  <c r="N73" i="1"/>
  <c r="L74" i="1"/>
  <c r="M74" i="1"/>
  <c r="N74" i="1"/>
  <c r="L75" i="1"/>
  <c r="M75" i="1"/>
  <c r="N75" i="1"/>
  <c r="L76" i="1"/>
  <c r="M76" i="1"/>
  <c r="N76" i="1"/>
  <c r="L77" i="1"/>
  <c r="M77" i="1"/>
  <c r="N77" i="1"/>
  <c r="L78" i="1"/>
  <c r="M78" i="1"/>
  <c r="N78" i="1"/>
  <c r="N2" i="1"/>
  <c r="M2" i="1"/>
  <c r="L2" i="1"/>
  <c r="J5" i="3"/>
  <c r="J4" i="3"/>
  <c r="J3" i="3"/>
  <c r="J2" i="3"/>
  <c r="J7" i="3"/>
  <c r="J8" i="3"/>
  <c r="J9" i="3"/>
  <c r="J10" i="3"/>
  <c r="J11" i="3"/>
  <c r="J6" i="3"/>
  <c r="K33" i="1"/>
  <c r="K21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2" i="1"/>
  <c r="K23" i="1"/>
  <c r="K24" i="1"/>
  <c r="K25" i="1"/>
  <c r="K26" i="1"/>
  <c r="K27" i="1"/>
  <c r="K28" i="1"/>
  <c r="K29" i="1"/>
  <c r="K30" i="1"/>
  <c r="K31" i="1"/>
  <c r="K32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2" i="1"/>
  <c r="C3" i="6" l="1"/>
  <c r="C4" i="6"/>
  <c r="C5" i="6"/>
  <c r="C2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tc={95439E0B-6EB4-BD47-AF36-A5E85E5E5076}</author>
    <author>tc={714614D2-AF81-2249-8198-9CF22CABD718}</author>
    <author>tc={0BD9E3A9-7250-AB4A-9C55-7743346E81B6}</author>
    <author>tc={E5F373E8-962D-444E-8793-DBE57649ECDA}</author>
    <author>tc={B3578689-F356-AB47-B4E7-CA07787A30DE}</author>
    <author>tc={DE6B0860-7B1E-8C4C-BAEE-D7947BAE7D3A}</author>
  </authors>
  <commentList>
    <comment ref="A1" authorId="0" shapeId="0" xr:uid="{95439E0B-6EB4-BD47-AF36-A5E85E5E5076}">
      <text>
        <t>[Threaded comment]
Your version of Excel allows you to read this threaded comment; however, any edits to it will get removed if the file is opened in a newer version of Excel. Learn more: https://go.microsoft.com/fwlink/?linkid=870924
Comment:
    naam peilbuis</t>
      </text>
    </comment>
    <comment ref="E1" authorId="1" shapeId="0" xr:uid="{714614D2-AF81-2249-8198-9CF22CABD718}">
      <text>
        <t>[Threaded comment]
Your version of Excel allows you to read this threaded comment; however, any edits to it will get removed if the file is opened in a newer version of Excel. Learn more: https://go.microsoft.com/fwlink/?linkid=870924
Comment:
    afstand (x,y) tot hartlijn ARK</t>
      </text>
    </comment>
    <comment ref="F1" authorId="2" shapeId="0" xr:uid="{0BD9E3A9-7250-AB4A-9C55-7743346E81B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projectie van (x,y) op hartlijn ARK</t>
      </text>
    </comment>
    <comment ref="G1" authorId="3" shapeId="0" xr:uid="{E5F373E8-962D-444E-8793-DBE57649ECD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projectie van (x,y) op hartlijn ARK</t>
      </text>
    </comment>
    <comment ref="I1" authorId="4" shapeId="0" xr:uid="{B3578689-F356-AB47-B4E7-CA07787A30DE}">
      <text>
        <t>[Threaded comment]
Your version of Excel allows you to read this threaded comment; however, any edits to it will get removed if the file is opened in a newer version of Excel. Learn more: https://go.microsoft.com/fwlink/?linkid=870924
Comment:
    https://experience.arcgis.com/experience/7a3706c6310e44d487de2e8b0888eac2
Reply:
    Vaak VP</t>
      </text>
    </comment>
    <comment ref="J1" authorId="5" shapeId="0" xr:uid="{DE6B0860-7B1E-8C4C-BAEE-D7947BAE7D3A}">
      <text>
        <t>[Threaded comment]
Your version of Excel allows you to read this threaded comment; however, any edits to it will get removed if the file is opened in a newer version of Excel. Learn more: https://go.microsoft.com/fwlink/?linkid=870924
Comment:
    Vastgestelde waterpeilen AGV
Reply:
    Vaak VP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tc={AC64C9D2-3F61-AF47-A662-FF8893F20A4A}</author>
  </authors>
  <commentList>
    <comment ref="A1" authorId="0" shapeId="0" xr:uid="{AC64C9D2-3F61-AF47-A662-FF8893F20A4A}">
      <text>
        <t>[Threaded comment]
Your version of Excel allows you to read this threaded comment; however, any edits to it will get removed if the file is opened in a newer version of Excel. Learn more: https://go.microsoft.com/fwlink/?linkid=870924
Comment:
    pb_sondering_in_en_naast_ARK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tc={EA54E30D-7CD8-1447-B295-5C3649868975}</author>
    <author>tc={C1FC057E-89F7-C04A-A3A6-3B290DC88D5B}</author>
    <author>tc={8C7D1607-0B4B-1F48-80E0-4F19BE82BC63}</author>
    <author>tc={7AB98D01-BB68-BC40-BC97-FB55FC2F97FA}</author>
    <author>tc={EA0446A7-2830-EA43-B8CB-D4770C105AB7}</author>
    <author>tc={46E774F0-10B4-7D4D-928A-96D4926B283A}</author>
  </authors>
  <commentList>
    <comment ref="A1" authorId="0" shapeId="0" xr:uid="{EA54E30D-7CD8-1447-B295-5C3649868975}">
      <text>
        <t>[Threaded comment]
Your version of Excel allows you to read this threaded comment; however, any edits to it will get removed if the file is opened in a newer version of Excel. Learn more: https://go.microsoft.com/fwlink/?linkid=870924
Comment:
    naam peilbuis</t>
      </text>
    </comment>
    <comment ref="E1" authorId="1" shapeId="0" xr:uid="{C1FC057E-89F7-C04A-A3A6-3B290DC88D5B}">
      <text>
        <t>[Threaded comment]
Your version of Excel allows you to read this threaded comment; however, any edits to it will get removed if the file is opened in a newer version of Excel. Learn more: https://go.microsoft.com/fwlink/?linkid=870924
Comment:
    afstand (x,y) tot hartlijn ARK</t>
      </text>
    </comment>
    <comment ref="F1" authorId="2" shapeId="0" xr:uid="{8C7D1607-0B4B-1F48-80E0-4F19BE82BC6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projectie van (x,y) op hartlijn ARK</t>
      </text>
    </comment>
    <comment ref="G1" authorId="3" shapeId="0" xr:uid="{7AB98D01-BB68-BC40-BC97-FB55FC2F97F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projectie van (x,y) op hartlijn ARK</t>
      </text>
    </comment>
    <comment ref="I1" authorId="4" shapeId="0" xr:uid="{EA0446A7-2830-EA43-B8CB-D4770C105AB7}">
      <text>
        <t>[Threaded comment]
Your version of Excel allows you to read this threaded comment; however, any edits to it will get removed if the file is opened in a newer version of Excel. Learn more: https://go.microsoft.com/fwlink/?linkid=870924
Comment:
    https://experience.arcgis.com/experience/7a3706c6310e44d487de2e8b0888eac2
Reply:
    Vaak VP</t>
      </text>
    </comment>
    <comment ref="J1" authorId="5" shapeId="0" xr:uid="{46E774F0-10B4-7D4D-928A-96D4926B283A}">
      <text>
        <t>[Threaded comment]
Your version of Excel allows you to read this threaded comment; however, any edits to it will get removed if the file is opened in a newer version of Excel. Learn more: https://go.microsoft.com/fwlink/?linkid=870924
Comment:
    Vastgestelde waterpeilen AGV
Reply:
    Vaak VP</t>
      </text>
    </comment>
  </commentList>
</comments>
</file>

<file path=xl/sharedStrings.xml><?xml version="1.0" encoding="utf-8"?>
<sst xmlns="http://schemas.openxmlformats.org/spreadsheetml/2006/main" count="242" uniqueCount="115">
  <si>
    <t>x</t>
  </si>
  <si>
    <t>y</t>
  </si>
  <si>
    <t>name</t>
  </si>
  <si>
    <t>xhit</t>
  </si>
  <si>
    <t>yhit</t>
  </si>
  <si>
    <t>W</t>
  </si>
  <si>
    <t>ZP</t>
  </si>
  <si>
    <t>WP</t>
  </si>
  <si>
    <t>WE</t>
  </si>
  <si>
    <t>raai</t>
  </si>
  <si>
    <t>dikte</t>
  </si>
  <si>
    <t>ok_deklaag</t>
  </si>
  <si>
    <t>bk_deklaag</t>
  </si>
  <si>
    <t>dist</t>
  </si>
  <si>
    <t>E</t>
  </si>
  <si>
    <t>onzeker_bk_laag</t>
  </si>
  <si>
    <t>inkanaal</t>
  </si>
  <si>
    <t>K</t>
  </si>
  <si>
    <t>A</t>
  </si>
  <si>
    <t>pb1</t>
  </si>
  <si>
    <t>pb2</t>
  </si>
  <si>
    <t>pb3</t>
  </si>
  <si>
    <t>pb4</t>
  </si>
  <si>
    <t>pb5</t>
  </si>
  <si>
    <t>pb6</t>
  </si>
  <si>
    <t>pb7</t>
  </si>
  <si>
    <t>pb8</t>
  </si>
  <si>
    <t>pb9</t>
  </si>
  <si>
    <t>pb101</t>
  </si>
  <si>
    <t>pb102</t>
  </si>
  <si>
    <t>pb201</t>
  </si>
  <si>
    <t>pb202</t>
  </si>
  <si>
    <t>pb301</t>
  </si>
  <si>
    <t>pb302</t>
  </si>
  <si>
    <t>pb303</t>
  </si>
  <si>
    <t>pb304</t>
  </si>
  <si>
    <t>pb401</t>
  </si>
  <si>
    <t>pb406</t>
  </si>
  <si>
    <t>pb407</t>
  </si>
  <si>
    <t>pb410</t>
  </si>
  <si>
    <t>pb411</t>
  </si>
  <si>
    <t>pb412</t>
  </si>
  <si>
    <t>pb503</t>
  </si>
  <si>
    <t>pb504</t>
  </si>
  <si>
    <t>pb505</t>
  </si>
  <si>
    <t>pb506</t>
  </si>
  <si>
    <t>pb508</t>
  </si>
  <si>
    <t>pb509</t>
  </si>
  <si>
    <t>pb510</t>
  </si>
  <si>
    <t>pb511</t>
  </si>
  <si>
    <t>pb601</t>
  </si>
  <si>
    <t>pb602</t>
  </si>
  <si>
    <t>pb603</t>
  </si>
  <si>
    <t>pb605</t>
  </si>
  <si>
    <t>pb606</t>
  </si>
  <si>
    <t>pb701</t>
  </si>
  <si>
    <t>pb702</t>
  </si>
  <si>
    <t>pb703</t>
  </si>
  <si>
    <t>pb801</t>
  </si>
  <si>
    <t>pb802</t>
  </si>
  <si>
    <t>pb901</t>
  </si>
  <si>
    <t>pb902</t>
  </si>
  <si>
    <t>pb903</t>
  </si>
  <si>
    <t>pb904</t>
  </si>
  <si>
    <t>pb905</t>
  </si>
  <si>
    <t>pb906</t>
  </si>
  <si>
    <t>pb1001</t>
  </si>
  <si>
    <t>pb1002</t>
  </si>
  <si>
    <t>pb1003</t>
  </si>
  <si>
    <t>pb1004</t>
  </si>
  <si>
    <t>pb1005</t>
  </si>
  <si>
    <t>pb1101</t>
  </si>
  <si>
    <t>pb1102</t>
  </si>
  <si>
    <t>pb1103</t>
  </si>
  <si>
    <t>pb1104</t>
  </si>
  <si>
    <t>pb1105</t>
  </si>
  <si>
    <t>pb1106</t>
  </si>
  <si>
    <t>pb1201</t>
  </si>
  <si>
    <t>pb1202</t>
  </si>
  <si>
    <t>pb1203</t>
  </si>
  <si>
    <t>pb1301</t>
  </si>
  <si>
    <t>pb1302</t>
  </si>
  <si>
    <t>pb1303</t>
  </si>
  <si>
    <t>pb1304</t>
  </si>
  <si>
    <t>y(2026-02-01)</t>
  </si>
  <si>
    <t>y(2026-08-01)</t>
  </si>
  <si>
    <t>y(2026-01-25)</t>
  </si>
  <si>
    <t>pb10</t>
  </si>
  <si>
    <t>pb9003</t>
  </si>
  <si>
    <t>summer</t>
  </si>
  <si>
    <t>winter</t>
  </si>
  <si>
    <t>bk_laag</t>
  </si>
  <si>
    <t>ok_laag</t>
  </si>
  <si>
    <t>Deklaag</t>
  </si>
  <si>
    <t>WVP1</t>
  </si>
  <si>
    <t>SDL2</t>
  </si>
  <si>
    <t>WVP2</t>
  </si>
  <si>
    <t>pakket</t>
  </si>
  <si>
    <t>D</t>
  </si>
  <si>
    <t>kh</t>
  </si>
  <si>
    <t>kv</t>
  </si>
  <si>
    <t>c</t>
  </si>
  <si>
    <t>formatie</t>
  </si>
  <si>
    <t>Echteld</t>
  </si>
  <si>
    <t>BX,KR,Urk,St,Dr</t>
  </si>
  <si>
    <t>Waalre</t>
  </si>
  <si>
    <t>Nieuwkoop</t>
  </si>
  <si>
    <t>Peize,Waalre</t>
  </si>
  <si>
    <t>lithologie</t>
  </si>
  <si>
    <t>zk</t>
  </si>
  <si>
    <t>veen</t>
  </si>
  <si>
    <t>fz-gz</t>
  </si>
  <si>
    <t>klei</t>
  </si>
  <si>
    <t>gz</t>
  </si>
  <si>
    <t>kD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</si>
</sst>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2"/>
      <color theme="1"/>
      <name val="Aptos Narrow"/>
      <family val="2"/>
      <scheme val="minor"/>
    </font>
    <font>
      <sz val="10"/>
      <color rgb="FF000000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190500</xdr:colOff>
      <xdr:row>26</xdr:row>
      <xdr:rowOff>152400</xdr:rowOff>
    </xdr:from>
    <xdr:to>
      <xdr:col>14</xdr:col>
      <xdr:colOff>533400</xdr:colOff>
      <xdr:row>45</xdr:row>
      <xdr:rowOff>32327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DD17493-9407-58F9-2FDC-9420EE70E4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318000" y="5435600"/>
          <a:ext cx="7772400" cy="3740727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Theo Olsthoorn" id="{96A1243A-EDAC-3347-8C18-15E2B014F1F1}" userId="Theo Olsthoorn" providerId="Non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6-06-01T22:36:03.63" personId="{96A1243A-EDAC-3347-8C18-15E2B014F1F1}" id="{95439E0B-6EB4-BD47-AF36-A5E85E5E5076}">
    <text>naam peilbuis</text>
  </threadedComment>
  <threadedComment ref="E1" dT="2026-06-01T22:35:37.02" personId="{96A1243A-EDAC-3347-8C18-15E2B014F1F1}" id="{714614D2-AF81-2249-8198-9CF22CABD718}">
    <text>afstand (x,y) tot hartlijn ARK</text>
  </threadedComment>
  <threadedComment ref="F1" dT="2026-06-01T22:34:50.06" personId="{96A1243A-EDAC-3347-8C18-15E2B014F1F1}" id="{0BD9E3A9-7250-AB4A-9C55-7743346E81B6}">
    <text>projectie van (x,y) op hartlijn ARK</text>
  </threadedComment>
  <threadedComment ref="G1" dT="2026-06-01T22:35:04.48" personId="{96A1243A-EDAC-3347-8C18-15E2B014F1F1}" id="{E5F373E8-962D-444E-8793-DBE57649ECDA}">
    <text>projectie van (x,y) op hartlijn ARK</text>
  </threadedComment>
  <threadedComment ref="I1" dT="2026-06-02T11:32:50.06" personId="{96A1243A-EDAC-3347-8C18-15E2B014F1F1}" id="{B3578689-F356-AB47-B4E7-CA07787A30DE}">
    <text xml:space="preserve">https://experience.arcgis.com/experience/7a3706c6310e44d487de2e8b0888eac2
</text>
    <extLst>
      <x:ext xmlns:xltc2="http://schemas.microsoft.com/office/spreadsheetml/2020/threadedcomments2" uri="{F7C98A9C-CBB3-438F-8F68-D28B6AF4A901}">
        <xltc2:checksum>7762614</xltc2:checksum>
        <xltc2:hyperlink startIndex="0" length="73" url="https://experience.arcgis.com/experience/7a3706c6310e44d487de2e8b0888eac2"/>
      </x:ext>
    </extLst>
  </threadedComment>
  <threadedComment ref="I1" dT="2026-06-02T11:33:52.99" personId="{96A1243A-EDAC-3347-8C18-15E2B014F1F1}" id="{8BA9ECB6-E5E2-9B49-A3CC-64E7561FDDE9}" parentId="{B3578689-F356-AB47-B4E7-CA07787A30DE}">
    <text>Vaak VP</text>
  </threadedComment>
  <threadedComment ref="J1" dT="2026-06-02T11:33:15.19" personId="{96A1243A-EDAC-3347-8C18-15E2B014F1F1}" id="{DE6B0860-7B1E-8C4C-BAEE-D7947BAE7D3A}">
    <text>Vastgestelde waterpeilen AGV</text>
  </threadedComment>
  <threadedComment ref="J1" dT="2026-06-02T11:33:36.77" personId="{96A1243A-EDAC-3347-8C18-15E2B014F1F1}" id="{DC9BC807-6B7B-1B40-A8B9-B44D48CC4388}" parentId="{DE6B0860-7B1E-8C4C-BAEE-D7947BAE7D3A}">
    <text>Vaak VP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1" dT="2026-06-02T15:10:45.11" personId="{96A1243A-EDAC-3347-8C18-15E2B014F1F1}" id="{AC64C9D2-3F61-AF47-A662-FF8893F20A4A}">
    <text>pb_sondering_in_en_naast_ARK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A1" dT="2026-06-01T22:36:03.63" personId="{96A1243A-EDAC-3347-8C18-15E2B014F1F1}" id="{EA54E30D-7CD8-1447-B295-5C3649868975}">
    <text>naam peilbuis</text>
  </threadedComment>
  <threadedComment ref="E1" dT="2026-06-01T22:35:37.02" personId="{96A1243A-EDAC-3347-8C18-15E2B014F1F1}" id="{C1FC057E-89F7-C04A-A3A6-3B290DC88D5B}">
    <text>afstand (x,y) tot hartlijn ARK</text>
  </threadedComment>
  <threadedComment ref="F1" dT="2026-06-01T22:34:50.06" personId="{96A1243A-EDAC-3347-8C18-15E2B014F1F1}" id="{8C7D1607-0B4B-1F48-80E0-4F19BE82BC63}">
    <text>projectie van (x,y) op hartlijn ARK</text>
  </threadedComment>
  <threadedComment ref="G1" dT="2026-06-01T22:35:04.48" personId="{96A1243A-EDAC-3347-8C18-15E2B014F1F1}" id="{7AB98D01-BB68-BC40-BC97-FB55FC2F97FA}">
    <text>projectie van (x,y) op hartlijn ARK</text>
  </threadedComment>
  <threadedComment ref="I1" dT="2026-06-02T11:32:50.06" personId="{96A1243A-EDAC-3347-8C18-15E2B014F1F1}" id="{EA0446A7-2830-EA43-B8CB-D4770C105AB7}">
    <text xml:space="preserve">https://experience.arcgis.com/experience/7a3706c6310e44d487de2e8b0888eac2
</text>
    <extLst>
      <x:ext xmlns:xltc2="http://schemas.microsoft.com/office/spreadsheetml/2020/threadedcomments2" uri="{F7C98A9C-CBB3-438F-8F68-D28B6AF4A901}">
        <xltc2:checksum>7762614</xltc2:checksum>
        <xltc2:hyperlink startIndex="0" length="73" url="https://experience.arcgis.com/experience/7a3706c6310e44d487de2e8b0888eac2"/>
      </x:ext>
    </extLst>
  </threadedComment>
  <threadedComment ref="I1" dT="2026-06-02T11:33:52.99" personId="{96A1243A-EDAC-3347-8C18-15E2B014F1F1}" id="{C356F39D-DC47-9D4B-A444-184477E2D937}" parentId="{EA0446A7-2830-EA43-B8CB-D4770C105AB7}">
    <text>Vaak VP</text>
  </threadedComment>
  <threadedComment ref="J1" dT="2026-06-02T11:33:15.19" personId="{96A1243A-EDAC-3347-8C18-15E2B014F1F1}" id="{46E774F0-10B4-7D4D-928A-96D4926B283A}">
    <text>Vastgestelde waterpeilen AGV</text>
  </threadedComment>
  <threadedComment ref="J1" dT="2026-06-02T11:33:36.77" personId="{96A1243A-EDAC-3347-8C18-15E2B014F1F1}" id="{6EF23EF5-D3F6-F74A-BCEF-6D2B0CE58637}" parentId="{46E774F0-10B4-7D4D-928A-96D4926B283A}">
    <text>Vaak VP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2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42C9A1-0ECC-C140-AC02-EB1C99BC61A4}">
  <dimension ref="A1:N78"/>
  <sheetViews>
    <sheetView topLeftCell="A43" workbookViewId="0">
      <selection activeCell="E16" sqref="E16"/>
    </sheetView>
  </sheetViews>
  <sheetFormatPr baseColWidth="10" defaultRowHeight="16" x14ac:dyDescent="0.2"/>
  <cols>
    <col min="12" max="14" width="12.6640625" bestFit="1" customWidth="1"/>
  </cols>
  <sheetData>
    <row r="1" spans="1:14" x14ac:dyDescent="0.2">
      <c r="A1" t="s">
        <v>2</v>
      </c>
      <c r="B1" t="s">
        <v>0</v>
      </c>
      <c r="C1" t="s">
        <v>1</v>
      </c>
      <c r="D1" t="s">
        <v>9</v>
      </c>
      <c r="E1" t="s">
        <v>13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86</v>
      </c>
      <c r="M1" t="s">
        <v>85</v>
      </c>
      <c r="N1" t="s">
        <v>84</v>
      </c>
    </row>
    <row r="2" spans="1:14" x14ac:dyDescent="0.2">
      <c r="A2">
        <v>101</v>
      </c>
      <c r="B2">
        <v>129997.6</v>
      </c>
      <c r="C2">
        <v>478846.7</v>
      </c>
      <c r="D2">
        <v>1</v>
      </c>
      <c r="E2">
        <v>59.5</v>
      </c>
      <c r="F2">
        <v>130057</v>
      </c>
      <c r="G2">
        <v>478847</v>
      </c>
      <c r="H2">
        <v>1</v>
      </c>
      <c r="I2">
        <v>-2.2999999999999998</v>
      </c>
      <c r="J2">
        <v>-2</v>
      </c>
      <c r="K2" t="str">
        <f>IF(H2&gt;0,"W","E")</f>
        <v>W</v>
      </c>
      <c r="L2">
        <f t="shared" ref="L2:L33" si="0">VLOOKUP("Pb"&amp;$A2,yyy,5,FALSE)</f>
        <v>0</v>
      </c>
      <c r="M2">
        <f t="shared" ref="M2:M33" si="1">VLOOKUP("Pb"&amp;$A2,yyy,6,FALSE)</f>
        <v>-1.6919999999999999</v>
      </c>
      <c r="N2">
        <f t="shared" ref="N2:N33" si="2">VLOOKUP("Pb"&amp;$A2,yyy,7,FALSE)</f>
        <v>-1.78</v>
      </c>
    </row>
    <row r="3" spans="1:14" x14ac:dyDescent="0.2">
      <c r="A3">
        <v>102</v>
      </c>
      <c r="B3">
        <v>130146.2</v>
      </c>
      <c r="C3">
        <v>478887.6</v>
      </c>
      <c r="D3">
        <v>1</v>
      </c>
      <c r="E3">
        <v>89</v>
      </c>
      <c r="F3">
        <v>130057</v>
      </c>
      <c r="G3">
        <v>478888</v>
      </c>
      <c r="H3">
        <v>-1</v>
      </c>
      <c r="I3">
        <v>-2.2999999999999998</v>
      </c>
      <c r="J3">
        <v>-2</v>
      </c>
      <c r="K3" t="str">
        <f t="shared" ref="K3:K68" si="3">IF(H3&gt;0,"W","E")</f>
        <v>E</v>
      </c>
      <c r="L3">
        <f t="shared" si="0"/>
        <v>0</v>
      </c>
      <c r="M3">
        <f t="shared" si="1"/>
        <v>-1.7390000000000001</v>
      </c>
      <c r="N3">
        <f t="shared" si="2"/>
        <v>-1.841</v>
      </c>
    </row>
    <row r="4" spans="1:14" x14ac:dyDescent="0.2">
      <c r="A4">
        <v>201</v>
      </c>
      <c r="B4">
        <v>130008.3</v>
      </c>
      <c r="C4">
        <v>477290</v>
      </c>
      <c r="D4">
        <v>2</v>
      </c>
      <c r="E4">
        <v>47.6</v>
      </c>
      <c r="F4">
        <v>130060</v>
      </c>
      <c r="G4">
        <v>477289</v>
      </c>
      <c r="H4">
        <v>1</v>
      </c>
      <c r="I4">
        <v>-2.2999999999999998</v>
      </c>
      <c r="J4">
        <v>-2</v>
      </c>
      <c r="K4" t="str">
        <f t="shared" si="3"/>
        <v>W</v>
      </c>
      <c r="L4">
        <f t="shared" si="0"/>
        <v>0</v>
      </c>
      <c r="M4">
        <f t="shared" si="1"/>
        <v>-1.4810000000000001</v>
      </c>
      <c r="N4">
        <f t="shared" si="2"/>
        <v>-1.6839999999999999</v>
      </c>
    </row>
    <row r="5" spans="1:14" x14ac:dyDescent="0.2">
      <c r="A5">
        <v>202</v>
      </c>
      <c r="B5">
        <v>130135.2</v>
      </c>
      <c r="C5">
        <v>477627.6</v>
      </c>
      <c r="D5">
        <v>2</v>
      </c>
      <c r="E5">
        <v>74.2</v>
      </c>
      <c r="F5">
        <v>130061</v>
      </c>
      <c r="G5">
        <v>477628</v>
      </c>
      <c r="H5">
        <v>-1</v>
      </c>
      <c r="I5">
        <v>-2.2999999999999998</v>
      </c>
      <c r="J5">
        <v>-2</v>
      </c>
      <c r="K5" t="str">
        <f t="shared" si="3"/>
        <v>E</v>
      </c>
      <c r="L5">
        <f t="shared" si="0"/>
        <v>0</v>
      </c>
      <c r="M5">
        <f t="shared" si="1"/>
        <v>-1.49</v>
      </c>
      <c r="N5">
        <f t="shared" si="2"/>
        <v>-1.7</v>
      </c>
    </row>
    <row r="6" spans="1:14" x14ac:dyDescent="0.2">
      <c r="A6">
        <v>301</v>
      </c>
      <c r="B6">
        <v>129626.9</v>
      </c>
      <c r="C6">
        <v>475914.5</v>
      </c>
      <c r="D6">
        <v>3</v>
      </c>
      <c r="E6">
        <v>217.7</v>
      </c>
      <c r="F6">
        <v>129842</v>
      </c>
      <c r="G6">
        <v>475878</v>
      </c>
      <c r="H6">
        <v>1</v>
      </c>
      <c r="I6">
        <v>-2.2999999999999998</v>
      </c>
      <c r="J6">
        <v>-2.2999999999999998</v>
      </c>
      <c r="K6" t="str">
        <f t="shared" si="3"/>
        <v>W</v>
      </c>
      <c r="L6">
        <f t="shared" si="0"/>
        <v>0</v>
      </c>
      <c r="M6">
        <f t="shared" si="1"/>
        <v>0</v>
      </c>
      <c r="N6">
        <f t="shared" si="2"/>
        <v>-1.6539999999999999</v>
      </c>
    </row>
    <row r="7" spans="1:14" x14ac:dyDescent="0.2">
      <c r="A7">
        <v>302</v>
      </c>
      <c r="B7">
        <v>129786.6</v>
      </c>
      <c r="C7">
        <v>475902</v>
      </c>
      <c r="D7">
        <v>3</v>
      </c>
      <c r="E7">
        <v>58.2</v>
      </c>
      <c r="F7">
        <v>129844</v>
      </c>
      <c r="G7">
        <v>475892</v>
      </c>
      <c r="H7">
        <v>1</v>
      </c>
      <c r="I7">
        <v>-2.2999999999999998</v>
      </c>
      <c r="J7">
        <v>-2.2999999999999998</v>
      </c>
      <c r="K7" t="str">
        <f t="shared" si="3"/>
        <v>W</v>
      </c>
      <c r="L7">
        <f t="shared" si="0"/>
        <v>0</v>
      </c>
      <c r="M7">
        <f t="shared" si="1"/>
        <v>-1.2350000000000001</v>
      </c>
      <c r="N7">
        <f t="shared" si="2"/>
        <v>-1.556</v>
      </c>
    </row>
    <row r="8" spans="1:14" x14ac:dyDescent="0.2">
      <c r="A8">
        <v>303</v>
      </c>
      <c r="B8">
        <v>129937</v>
      </c>
      <c r="C8">
        <v>475919.8</v>
      </c>
      <c r="D8">
        <v>3</v>
      </c>
      <c r="E8">
        <v>87.2</v>
      </c>
      <c r="F8">
        <v>129851</v>
      </c>
      <c r="G8">
        <v>475934</v>
      </c>
      <c r="H8">
        <v>-1</v>
      </c>
      <c r="I8">
        <v>-2.1</v>
      </c>
      <c r="J8">
        <v>-2.1</v>
      </c>
      <c r="K8" t="str">
        <f t="shared" si="3"/>
        <v>E</v>
      </c>
      <c r="L8">
        <f t="shared" si="0"/>
        <v>0</v>
      </c>
      <c r="M8">
        <f t="shared" si="1"/>
        <v>-1.1160000000000001</v>
      </c>
      <c r="N8">
        <f t="shared" si="2"/>
        <v>0</v>
      </c>
    </row>
    <row r="9" spans="1:14" x14ac:dyDescent="0.2">
      <c r="A9">
        <v>304</v>
      </c>
      <c r="B9">
        <v>130028.8</v>
      </c>
      <c r="C9">
        <v>475937.6</v>
      </c>
      <c r="D9">
        <v>3</v>
      </c>
      <c r="E9">
        <v>174.7</v>
      </c>
      <c r="F9">
        <v>129857</v>
      </c>
      <c r="G9">
        <v>475967</v>
      </c>
      <c r="H9">
        <v>-1</v>
      </c>
      <c r="I9">
        <v>-2.1</v>
      </c>
      <c r="J9">
        <v>-2.1</v>
      </c>
      <c r="K9" t="str">
        <f t="shared" si="3"/>
        <v>E</v>
      </c>
      <c r="L9">
        <f t="shared" si="0"/>
        <v>0</v>
      </c>
      <c r="M9">
        <f t="shared" si="1"/>
        <v>-1.262</v>
      </c>
      <c r="N9">
        <f t="shared" si="2"/>
        <v>0</v>
      </c>
    </row>
    <row r="10" spans="1:14" x14ac:dyDescent="0.2">
      <c r="A10">
        <v>9002</v>
      </c>
      <c r="B10">
        <v>128340.6</v>
      </c>
      <c r="C10">
        <v>475320.9</v>
      </c>
      <c r="D10">
        <v>4</v>
      </c>
      <c r="E10">
        <v>1387.2</v>
      </c>
      <c r="F10">
        <v>129708</v>
      </c>
      <c r="G10">
        <v>475090</v>
      </c>
      <c r="H10">
        <v>1</v>
      </c>
      <c r="I10">
        <v>-2.6</v>
      </c>
      <c r="J10">
        <v>-2.6</v>
      </c>
      <c r="K10" t="str">
        <f t="shared" si="3"/>
        <v>W</v>
      </c>
      <c r="L10" t="e">
        <f t="shared" si="0"/>
        <v>#N/A</v>
      </c>
      <c r="M10" t="e">
        <f t="shared" si="1"/>
        <v>#N/A</v>
      </c>
      <c r="N10" t="e">
        <f t="shared" si="2"/>
        <v>#N/A</v>
      </c>
    </row>
    <row r="11" spans="1:14" x14ac:dyDescent="0.2">
      <c r="A11">
        <v>401</v>
      </c>
      <c r="B11">
        <v>129148</v>
      </c>
      <c r="C11">
        <v>475304.9</v>
      </c>
      <c r="D11">
        <v>4</v>
      </c>
      <c r="E11">
        <v>588.4</v>
      </c>
      <c r="F11">
        <v>129728</v>
      </c>
      <c r="G11">
        <v>475207</v>
      </c>
      <c r="H11">
        <v>1</v>
      </c>
      <c r="I11">
        <v>-2.2999999999999998</v>
      </c>
      <c r="J11">
        <v>-2.2999999999999998</v>
      </c>
      <c r="K11" t="str">
        <f t="shared" si="3"/>
        <v>W</v>
      </c>
      <c r="L11">
        <f t="shared" si="0"/>
        <v>0</v>
      </c>
      <c r="M11">
        <f t="shared" si="1"/>
        <v>0</v>
      </c>
      <c r="N11">
        <f t="shared" si="2"/>
        <v>0</v>
      </c>
    </row>
    <row r="12" spans="1:14" x14ac:dyDescent="0.2">
      <c r="A12">
        <v>402</v>
      </c>
      <c r="B12">
        <v>129340.7</v>
      </c>
      <c r="C12">
        <v>475301.3</v>
      </c>
      <c r="D12">
        <v>4</v>
      </c>
      <c r="E12">
        <v>397.8</v>
      </c>
      <c r="F12">
        <v>129733</v>
      </c>
      <c r="G12">
        <v>475235</v>
      </c>
      <c r="H12">
        <v>1</v>
      </c>
      <c r="I12">
        <v>-2.2999999999999998</v>
      </c>
      <c r="J12">
        <v>-2.2999999999999998</v>
      </c>
      <c r="K12" t="str">
        <f t="shared" si="3"/>
        <v>W</v>
      </c>
      <c r="L12" t="e">
        <f t="shared" si="0"/>
        <v>#N/A</v>
      </c>
      <c r="M12" t="e">
        <f t="shared" si="1"/>
        <v>#N/A</v>
      </c>
      <c r="N12" t="e">
        <f t="shared" si="2"/>
        <v>#N/A</v>
      </c>
    </row>
    <row r="13" spans="1:14" x14ac:dyDescent="0.2">
      <c r="A13">
        <v>403</v>
      </c>
      <c r="B13">
        <v>129450.8</v>
      </c>
      <c r="C13">
        <v>475306.7</v>
      </c>
      <c r="D13">
        <v>4</v>
      </c>
      <c r="E13">
        <v>290.10000000000002</v>
      </c>
      <c r="F13">
        <v>129737</v>
      </c>
      <c r="G13">
        <v>475258</v>
      </c>
      <c r="H13">
        <v>1</v>
      </c>
      <c r="I13">
        <v>-2.2999999999999998</v>
      </c>
      <c r="J13">
        <v>-2.2999999999999998</v>
      </c>
      <c r="K13" t="str">
        <f t="shared" si="3"/>
        <v>W</v>
      </c>
      <c r="L13" t="e">
        <f t="shared" si="0"/>
        <v>#N/A</v>
      </c>
      <c r="M13" t="e">
        <f t="shared" si="1"/>
        <v>#N/A</v>
      </c>
      <c r="N13" t="e">
        <f t="shared" si="2"/>
        <v>#N/A</v>
      </c>
    </row>
    <row r="14" spans="1:14" x14ac:dyDescent="0.2">
      <c r="A14">
        <v>404</v>
      </c>
      <c r="B14">
        <v>129575.6</v>
      </c>
      <c r="C14">
        <v>475313.8</v>
      </c>
      <c r="D14">
        <v>4</v>
      </c>
      <c r="E14">
        <v>168.3</v>
      </c>
      <c r="F14">
        <v>129742</v>
      </c>
      <c r="G14">
        <v>475286</v>
      </c>
      <c r="H14">
        <v>1</v>
      </c>
      <c r="I14">
        <v>-2.2999999999999998</v>
      </c>
      <c r="J14">
        <v>-2.2999999999999998</v>
      </c>
      <c r="K14" t="str">
        <f t="shared" si="3"/>
        <v>W</v>
      </c>
      <c r="L14" t="e">
        <f t="shared" si="0"/>
        <v>#N/A</v>
      </c>
      <c r="M14" t="e">
        <f t="shared" si="1"/>
        <v>#N/A</v>
      </c>
      <c r="N14" t="e">
        <f t="shared" si="2"/>
        <v>#N/A</v>
      </c>
    </row>
    <row r="15" spans="1:14" x14ac:dyDescent="0.2">
      <c r="A15">
        <v>405</v>
      </c>
      <c r="B15">
        <v>129674.6</v>
      </c>
      <c r="C15">
        <v>475340.4</v>
      </c>
      <c r="D15">
        <v>4</v>
      </c>
      <c r="E15">
        <v>75.099999999999994</v>
      </c>
      <c r="F15">
        <v>129749</v>
      </c>
      <c r="G15">
        <v>475328</v>
      </c>
      <c r="H15">
        <v>1</v>
      </c>
      <c r="I15">
        <v>-2.2999999999999998</v>
      </c>
      <c r="J15">
        <v>-2.2999999999999998</v>
      </c>
      <c r="K15" t="str">
        <f t="shared" si="3"/>
        <v>W</v>
      </c>
      <c r="L15" t="e">
        <f t="shared" si="0"/>
        <v>#N/A</v>
      </c>
      <c r="M15" t="e">
        <f t="shared" si="1"/>
        <v>#N/A</v>
      </c>
      <c r="N15" t="e">
        <f t="shared" si="2"/>
        <v>#N/A</v>
      </c>
    </row>
    <row r="16" spans="1:14" x14ac:dyDescent="0.2">
      <c r="A16">
        <v>406</v>
      </c>
      <c r="B16">
        <v>129699</v>
      </c>
      <c r="C16">
        <v>475345.8</v>
      </c>
      <c r="D16">
        <v>4</v>
      </c>
      <c r="E16">
        <v>53</v>
      </c>
      <c r="F16">
        <v>129750</v>
      </c>
      <c r="G16">
        <v>475338</v>
      </c>
      <c r="H16">
        <v>1</v>
      </c>
      <c r="I16">
        <v>-2.2999999999999998</v>
      </c>
      <c r="J16">
        <v>-2.2999999999999998</v>
      </c>
      <c r="K16" t="str">
        <f t="shared" si="3"/>
        <v>W</v>
      </c>
      <c r="L16">
        <f t="shared" si="0"/>
        <v>0</v>
      </c>
      <c r="M16">
        <f t="shared" si="1"/>
        <v>-0.998</v>
      </c>
      <c r="N16">
        <f t="shared" si="2"/>
        <v>-1.49</v>
      </c>
    </row>
    <row r="17" spans="1:14" x14ac:dyDescent="0.2">
      <c r="A17">
        <v>407</v>
      </c>
      <c r="B17">
        <v>129828.8</v>
      </c>
      <c r="C17">
        <v>475386.6</v>
      </c>
      <c r="D17">
        <v>4</v>
      </c>
      <c r="E17">
        <v>69.3</v>
      </c>
      <c r="F17">
        <v>129760</v>
      </c>
      <c r="G17">
        <v>475398</v>
      </c>
      <c r="H17">
        <v>-1</v>
      </c>
      <c r="I17">
        <v>-2.1</v>
      </c>
      <c r="J17">
        <v>-2.1</v>
      </c>
      <c r="K17" t="str">
        <f t="shared" si="3"/>
        <v>E</v>
      </c>
      <c r="L17">
        <f t="shared" si="0"/>
        <v>-1.571</v>
      </c>
      <c r="M17">
        <f t="shared" si="1"/>
        <v>-1.1040000000000001</v>
      </c>
      <c r="N17">
        <f t="shared" si="2"/>
        <v>-1.542</v>
      </c>
    </row>
    <row r="18" spans="1:14" x14ac:dyDescent="0.2">
      <c r="A18">
        <v>408</v>
      </c>
      <c r="B18">
        <v>129865.5</v>
      </c>
      <c r="C18">
        <v>475399.1</v>
      </c>
      <c r="D18">
        <v>4</v>
      </c>
      <c r="E18">
        <v>103.4</v>
      </c>
      <c r="F18">
        <v>129764</v>
      </c>
      <c r="G18">
        <v>475416</v>
      </c>
      <c r="H18">
        <v>-1</v>
      </c>
      <c r="I18">
        <v>-2.1</v>
      </c>
      <c r="J18">
        <v>-2.1</v>
      </c>
      <c r="K18" t="str">
        <f t="shared" si="3"/>
        <v>E</v>
      </c>
      <c r="L18" t="e">
        <f t="shared" si="0"/>
        <v>#N/A</v>
      </c>
      <c r="M18" t="e">
        <f t="shared" si="1"/>
        <v>#N/A</v>
      </c>
      <c r="N18" t="e">
        <f t="shared" si="2"/>
        <v>#N/A</v>
      </c>
    </row>
    <row r="19" spans="1:14" x14ac:dyDescent="0.2">
      <c r="A19">
        <v>409</v>
      </c>
      <c r="B19">
        <v>129953.60000000001</v>
      </c>
      <c r="C19">
        <v>475425.7</v>
      </c>
      <c r="D19">
        <v>4</v>
      </c>
      <c r="E19">
        <v>185.8</v>
      </c>
      <c r="F19">
        <v>129770</v>
      </c>
      <c r="G19">
        <v>475457</v>
      </c>
      <c r="H19">
        <v>-1</v>
      </c>
      <c r="I19">
        <v>-2.1</v>
      </c>
      <c r="J19">
        <v>-2.1</v>
      </c>
      <c r="K19" t="str">
        <f t="shared" si="3"/>
        <v>E</v>
      </c>
      <c r="L19" t="e">
        <f t="shared" si="0"/>
        <v>#N/A</v>
      </c>
      <c r="M19" t="e">
        <f t="shared" si="1"/>
        <v>#N/A</v>
      </c>
      <c r="N19" t="e">
        <f t="shared" si="2"/>
        <v>#N/A</v>
      </c>
    </row>
    <row r="20" spans="1:14" x14ac:dyDescent="0.2">
      <c r="A20">
        <v>410</v>
      </c>
      <c r="B20">
        <v>130003.1</v>
      </c>
      <c r="C20">
        <v>475425.7</v>
      </c>
      <c r="D20">
        <v>4</v>
      </c>
      <c r="E20">
        <v>234.6</v>
      </c>
      <c r="F20">
        <v>129772</v>
      </c>
      <c r="G20">
        <v>475465</v>
      </c>
      <c r="H20">
        <v>-1</v>
      </c>
      <c r="I20">
        <v>-2.1</v>
      </c>
      <c r="J20">
        <v>-2.1</v>
      </c>
      <c r="K20" t="str">
        <f t="shared" si="3"/>
        <v>E</v>
      </c>
      <c r="L20">
        <f t="shared" si="0"/>
        <v>-1.6220000000000001</v>
      </c>
      <c r="M20">
        <f t="shared" si="1"/>
        <v>-1.399</v>
      </c>
      <c r="N20">
        <f t="shared" si="2"/>
        <v>-1.6220000000000001</v>
      </c>
    </row>
    <row r="21" spans="1:14" x14ac:dyDescent="0.2">
      <c r="A21">
        <v>411</v>
      </c>
      <c r="B21">
        <v>130003.1</v>
      </c>
      <c r="C21">
        <v>475425.7</v>
      </c>
      <c r="D21">
        <v>4</v>
      </c>
      <c r="E21">
        <v>234.6</v>
      </c>
      <c r="F21">
        <v>129772</v>
      </c>
      <c r="G21">
        <v>475465</v>
      </c>
      <c r="H21">
        <v>-1</v>
      </c>
      <c r="I21">
        <v>-2.1</v>
      </c>
      <c r="J21">
        <v>-2.1</v>
      </c>
      <c r="K21" t="str">
        <f t="shared" ref="K21" si="4">IF(H21&gt;0,"W","E")</f>
        <v>E</v>
      </c>
      <c r="L21">
        <f t="shared" si="0"/>
        <v>-1.66</v>
      </c>
      <c r="M21">
        <f t="shared" si="1"/>
        <v>-1.4470000000000001</v>
      </c>
      <c r="N21">
        <f t="shared" si="2"/>
        <v>-1.66</v>
      </c>
    </row>
    <row r="22" spans="1:14" x14ac:dyDescent="0.2">
      <c r="A22">
        <v>412</v>
      </c>
      <c r="B22">
        <v>130131.6</v>
      </c>
      <c r="C22">
        <v>475471.9</v>
      </c>
      <c r="D22">
        <v>4</v>
      </c>
      <c r="E22">
        <v>353.7</v>
      </c>
      <c r="F22">
        <v>129783</v>
      </c>
      <c r="G22">
        <v>475531</v>
      </c>
      <c r="H22">
        <v>-1</v>
      </c>
      <c r="I22">
        <v>-2.1</v>
      </c>
      <c r="J22">
        <v>-2.1</v>
      </c>
      <c r="K22" t="str">
        <f t="shared" si="3"/>
        <v>E</v>
      </c>
      <c r="L22">
        <f t="shared" si="0"/>
        <v>-1.669</v>
      </c>
      <c r="M22">
        <f t="shared" si="1"/>
        <v>-1.472</v>
      </c>
      <c r="N22">
        <f t="shared" si="2"/>
        <v>-1.669</v>
      </c>
    </row>
    <row r="23" spans="1:14" x14ac:dyDescent="0.2">
      <c r="A23">
        <v>501</v>
      </c>
      <c r="B23">
        <v>129138.8</v>
      </c>
      <c r="C23">
        <v>474983.2</v>
      </c>
      <c r="D23">
        <v>5</v>
      </c>
      <c r="E23">
        <v>543.9</v>
      </c>
      <c r="F23">
        <v>129675</v>
      </c>
      <c r="G23">
        <v>474893</v>
      </c>
      <c r="H23">
        <v>1</v>
      </c>
      <c r="I23">
        <v>-2.2999999999999998</v>
      </c>
      <c r="J23">
        <v>-2.2999999999999998</v>
      </c>
      <c r="K23" t="str">
        <f t="shared" si="3"/>
        <v>W</v>
      </c>
      <c r="L23" t="e">
        <f t="shared" si="0"/>
        <v>#N/A</v>
      </c>
      <c r="M23" t="e">
        <f t="shared" si="1"/>
        <v>#N/A</v>
      </c>
      <c r="N23" t="e">
        <f t="shared" si="2"/>
        <v>#N/A</v>
      </c>
    </row>
    <row r="24" spans="1:14" x14ac:dyDescent="0.2">
      <c r="A24">
        <v>502</v>
      </c>
      <c r="B24">
        <v>129401.2</v>
      </c>
      <c r="C24">
        <v>475002.8</v>
      </c>
      <c r="D24">
        <v>5</v>
      </c>
      <c r="E24">
        <v>288.39999999999998</v>
      </c>
      <c r="F24">
        <v>129686</v>
      </c>
      <c r="G24">
        <v>474955</v>
      </c>
      <c r="H24">
        <v>1</v>
      </c>
      <c r="I24">
        <v>-2.2999999999999998</v>
      </c>
      <c r="J24">
        <v>-2.2999999999999998</v>
      </c>
      <c r="K24" t="str">
        <f t="shared" si="3"/>
        <v>W</v>
      </c>
      <c r="L24" t="e">
        <f t="shared" si="0"/>
        <v>#N/A</v>
      </c>
      <c r="M24" t="e">
        <f t="shared" si="1"/>
        <v>#N/A</v>
      </c>
      <c r="N24" t="e">
        <f t="shared" si="2"/>
        <v>#N/A</v>
      </c>
    </row>
    <row r="25" spans="1:14" x14ac:dyDescent="0.2">
      <c r="A25">
        <v>503</v>
      </c>
      <c r="B25">
        <v>129417.7</v>
      </c>
      <c r="C25">
        <v>475008.1</v>
      </c>
      <c r="D25">
        <v>5</v>
      </c>
      <c r="E25">
        <v>273</v>
      </c>
      <c r="F25">
        <v>129687</v>
      </c>
      <c r="G25">
        <v>474963</v>
      </c>
      <c r="H25">
        <v>1</v>
      </c>
      <c r="I25">
        <v>-2.2999999999999998</v>
      </c>
      <c r="J25">
        <v>-2.2999999999999998</v>
      </c>
      <c r="K25" t="str">
        <f t="shared" si="3"/>
        <v>W</v>
      </c>
      <c r="L25">
        <f t="shared" si="0"/>
        <v>-1.738</v>
      </c>
      <c r="M25">
        <f t="shared" si="1"/>
        <v>-1.542</v>
      </c>
      <c r="N25">
        <f t="shared" si="2"/>
        <v>-1.734</v>
      </c>
    </row>
    <row r="26" spans="1:14" x14ac:dyDescent="0.2">
      <c r="A26">
        <v>504</v>
      </c>
      <c r="B26">
        <v>129513.2</v>
      </c>
      <c r="C26">
        <v>475001</v>
      </c>
      <c r="D26">
        <v>5</v>
      </c>
      <c r="E26">
        <v>177.7</v>
      </c>
      <c r="F26">
        <v>129688</v>
      </c>
      <c r="G26">
        <v>474971</v>
      </c>
      <c r="H26">
        <v>1</v>
      </c>
      <c r="I26">
        <v>-2.2999999999999998</v>
      </c>
      <c r="J26">
        <v>-2.2999999999999998</v>
      </c>
      <c r="K26" t="str">
        <f t="shared" si="3"/>
        <v>W</v>
      </c>
      <c r="L26">
        <f t="shared" si="0"/>
        <v>0</v>
      </c>
      <c r="M26">
        <f t="shared" si="1"/>
        <v>0</v>
      </c>
      <c r="N26">
        <f t="shared" si="2"/>
        <v>-1.5529999999999999</v>
      </c>
    </row>
    <row r="27" spans="1:14" x14ac:dyDescent="0.2">
      <c r="A27">
        <v>505</v>
      </c>
      <c r="B27">
        <v>129527.8</v>
      </c>
      <c r="C27">
        <v>475008.1</v>
      </c>
      <c r="D27">
        <v>5</v>
      </c>
      <c r="E27">
        <v>164.5</v>
      </c>
      <c r="F27">
        <v>129690</v>
      </c>
      <c r="G27">
        <v>474981</v>
      </c>
      <c r="H27">
        <v>1</v>
      </c>
      <c r="I27">
        <v>-2.2999999999999998</v>
      </c>
      <c r="J27">
        <v>-2.2999999999999998</v>
      </c>
      <c r="K27" t="str">
        <f t="shared" si="3"/>
        <v>W</v>
      </c>
      <c r="L27">
        <f t="shared" si="0"/>
        <v>-1.6359999999999999</v>
      </c>
      <c r="M27">
        <f t="shared" si="1"/>
        <v>-1.2849999999999999</v>
      </c>
      <c r="N27">
        <f t="shared" si="2"/>
        <v>-1.6220000000000001</v>
      </c>
    </row>
    <row r="28" spans="1:14" x14ac:dyDescent="0.2">
      <c r="A28">
        <v>506</v>
      </c>
      <c r="B28">
        <v>129615.9</v>
      </c>
      <c r="C28">
        <v>475008.1</v>
      </c>
      <c r="D28">
        <v>5</v>
      </c>
      <c r="E28">
        <v>77.599999999999994</v>
      </c>
      <c r="F28">
        <v>129692</v>
      </c>
      <c r="G28">
        <v>474995</v>
      </c>
      <c r="H28">
        <v>1</v>
      </c>
      <c r="I28">
        <v>-2.2999999999999998</v>
      </c>
      <c r="J28">
        <v>-2.2999999999999998</v>
      </c>
      <c r="K28" t="str">
        <f t="shared" si="3"/>
        <v>W</v>
      </c>
      <c r="L28">
        <f t="shared" si="0"/>
        <v>-1.5740000000000001</v>
      </c>
      <c r="M28">
        <f t="shared" si="1"/>
        <v>-1.0680000000000001</v>
      </c>
      <c r="N28">
        <f t="shared" si="2"/>
        <v>0</v>
      </c>
    </row>
    <row r="29" spans="1:14" x14ac:dyDescent="0.2">
      <c r="A29">
        <v>507</v>
      </c>
      <c r="B29">
        <v>129768.2</v>
      </c>
      <c r="C29">
        <v>475001</v>
      </c>
      <c r="D29">
        <v>5</v>
      </c>
      <c r="E29">
        <v>73.8</v>
      </c>
      <c r="F29">
        <v>129695</v>
      </c>
      <c r="G29">
        <v>475013</v>
      </c>
      <c r="H29">
        <v>-1</v>
      </c>
      <c r="I29">
        <v>-2.2000000000000002</v>
      </c>
      <c r="J29">
        <v>-2.2000000000000002</v>
      </c>
      <c r="K29" t="str">
        <f t="shared" si="3"/>
        <v>E</v>
      </c>
      <c r="L29" t="e">
        <f t="shared" si="0"/>
        <v>#N/A</v>
      </c>
      <c r="M29" t="e">
        <f t="shared" si="1"/>
        <v>#N/A</v>
      </c>
      <c r="N29" t="e">
        <f t="shared" si="2"/>
        <v>#N/A</v>
      </c>
    </row>
    <row r="30" spans="1:14" x14ac:dyDescent="0.2">
      <c r="A30">
        <v>508</v>
      </c>
      <c r="B30">
        <v>129768.2</v>
      </c>
      <c r="C30">
        <v>475001</v>
      </c>
      <c r="D30">
        <v>5</v>
      </c>
      <c r="E30">
        <v>73.8</v>
      </c>
      <c r="F30">
        <v>129695</v>
      </c>
      <c r="G30">
        <v>475013</v>
      </c>
      <c r="H30">
        <v>-1</v>
      </c>
      <c r="I30">
        <v>-2.2000000000000002</v>
      </c>
      <c r="J30">
        <v>-2.2000000000000002</v>
      </c>
      <c r="K30" t="str">
        <f t="shared" si="3"/>
        <v>E</v>
      </c>
      <c r="L30">
        <f t="shared" si="0"/>
        <v>-1.819</v>
      </c>
      <c r="M30">
        <f t="shared" si="1"/>
        <v>-1.538</v>
      </c>
      <c r="N30">
        <f t="shared" si="2"/>
        <v>-1.821</v>
      </c>
    </row>
    <row r="31" spans="1:14" x14ac:dyDescent="0.2">
      <c r="A31">
        <v>509</v>
      </c>
      <c r="B31">
        <v>129982.9</v>
      </c>
      <c r="C31">
        <v>475054.3</v>
      </c>
      <c r="D31">
        <v>5</v>
      </c>
      <c r="E31">
        <v>276.60000000000002</v>
      </c>
      <c r="F31">
        <v>129710</v>
      </c>
      <c r="G31">
        <v>475100</v>
      </c>
      <c r="H31">
        <v>-1</v>
      </c>
      <c r="I31">
        <v>-2.2000000000000002</v>
      </c>
      <c r="J31">
        <v>-2.2000000000000002</v>
      </c>
      <c r="K31" t="str">
        <f t="shared" si="3"/>
        <v>E</v>
      </c>
      <c r="L31">
        <f t="shared" si="0"/>
        <v>0</v>
      </c>
      <c r="M31">
        <f t="shared" si="1"/>
        <v>0</v>
      </c>
      <c r="N31">
        <f t="shared" si="2"/>
        <v>-1.8080000000000001</v>
      </c>
    </row>
    <row r="32" spans="1:14" x14ac:dyDescent="0.2">
      <c r="A32">
        <v>510</v>
      </c>
      <c r="B32">
        <v>130107.7</v>
      </c>
      <c r="C32">
        <v>475093.4</v>
      </c>
      <c r="D32">
        <v>5</v>
      </c>
      <c r="E32">
        <v>393.1</v>
      </c>
      <c r="F32">
        <v>129720</v>
      </c>
      <c r="G32">
        <v>475159</v>
      </c>
      <c r="H32">
        <v>-1</v>
      </c>
      <c r="I32">
        <v>-2.2000000000000002</v>
      </c>
      <c r="J32">
        <v>-2.2000000000000002</v>
      </c>
      <c r="K32" t="str">
        <f t="shared" si="3"/>
        <v>E</v>
      </c>
      <c r="L32">
        <f t="shared" si="0"/>
        <v>-1.708</v>
      </c>
      <c r="M32">
        <f t="shared" si="1"/>
        <v>-1.5189999999999999</v>
      </c>
      <c r="N32">
        <f t="shared" si="2"/>
        <v>-1.7</v>
      </c>
    </row>
    <row r="33" spans="1:14" x14ac:dyDescent="0.2">
      <c r="A33">
        <v>511</v>
      </c>
      <c r="B33">
        <v>130107.7</v>
      </c>
      <c r="C33">
        <v>475093.4</v>
      </c>
      <c r="D33">
        <v>5</v>
      </c>
      <c r="E33">
        <v>393.1</v>
      </c>
      <c r="F33">
        <v>129720</v>
      </c>
      <c r="G33">
        <v>475159</v>
      </c>
      <c r="H33">
        <v>-1</v>
      </c>
      <c r="I33">
        <v>-2.2000000000000002</v>
      </c>
      <c r="J33">
        <v>-2.2000000000000002</v>
      </c>
      <c r="K33" t="str">
        <f t="shared" ref="K33" si="5">IF(H33&gt;0,"W","E")</f>
        <v>E</v>
      </c>
      <c r="L33">
        <f t="shared" si="0"/>
        <v>-1.698</v>
      </c>
      <c r="M33">
        <f t="shared" si="1"/>
        <v>-1.506</v>
      </c>
      <c r="N33">
        <f t="shared" si="2"/>
        <v>-1.698</v>
      </c>
    </row>
    <row r="34" spans="1:14" x14ac:dyDescent="0.2">
      <c r="A34">
        <v>512</v>
      </c>
      <c r="B34">
        <v>130239.8</v>
      </c>
      <c r="C34">
        <v>475137.8</v>
      </c>
      <c r="D34">
        <v>5</v>
      </c>
      <c r="E34">
        <v>516</v>
      </c>
      <c r="F34">
        <v>129731</v>
      </c>
      <c r="G34">
        <v>475224</v>
      </c>
      <c r="H34">
        <v>-1</v>
      </c>
      <c r="I34">
        <v>-2.2000000000000002</v>
      </c>
      <c r="J34">
        <v>-2.2000000000000002</v>
      </c>
      <c r="K34" t="str">
        <f t="shared" si="3"/>
        <v>E</v>
      </c>
      <c r="L34" t="e">
        <f t="shared" ref="L34:L65" si="6">VLOOKUP("Pb"&amp;$A34,yyy,5,FALSE)</f>
        <v>#N/A</v>
      </c>
      <c r="M34" t="e">
        <f t="shared" ref="M34:M65" si="7">VLOOKUP("Pb"&amp;$A34,yyy,6,FALSE)</f>
        <v>#N/A</v>
      </c>
      <c r="N34" t="e">
        <f t="shared" ref="N34:N65" si="8">VLOOKUP("Pb"&amp;$A34,yyy,7,FALSE)</f>
        <v>#N/A</v>
      </c>
    </row>
    <row r="35" spans="1:14" x14ac:dyDescent="0.2">
      <c r="A35">
        <v>601</v>
      </c>
      <c r="B35">
        <v>129045.2</v>
      </c>
      <c r="C35">
        <v>474043.1</v>
      </c>
      <c r="D35">
        <v>6</v>
      </c>
      <c r="E35">
        <v>476.3</v>
      </c>
      <c r="F35">
        <v>129515</v>
      </c>
      <c r="G35">
        <v>473962</v>
      </c>
      <c r="H35">
        <v>1</v>
      </c>
      <c r="I35">
        <v>-2.6</v>
      </c>
      <c r="J35">
        <v>-2.6</v>
      </c>
      <c r="K35" t="str">
        <f t="shared" si="3"/>
        <v>W</v>
      </c>
      <c r="L35">
        <f t="shared" si="6"/>
        <v>0</v>
      </c>
      <c r="M35">
        <f t="shared" si="7"/>
        <v>-1.5580000000000001</v>
      </c>
      <c r="N35">
        <f t="shared" si="8"/>
        <v>-1.698</v>
      </c>
    </row>
    <row r="36" spans="1:14" x14ac:dyDescent="0.2">
      <c r="A36">
        <v>602</v>
      </c>
      <c r="B36">
        <v>129311.3</v>
      </c>
      <c r="C36">
        <v>474110.7</v>
      </c>
      <c r="D36">
        <v>6</v>
      </c>
      <c r="E36">
        <v>225.7</v>
      </c>
      <c r="F36">
        <v>129534</v>
      </c>
      <c r="G36">
        <v>474072</v>
      </c>
      <c r="H36">
        <v>1</v>
      </c>
      <c r="I36">
        <v>-2.6</v>
      </c>
      <c r="J36">
        <v>-2.6</v>
      </c>
      <c r="K36" t="str">
        <f t="shared" si="3"/>
        <v>W</v>
      </c>
      <c r="L36">
        <f t="shared" si="6"/>
        <v>0</v>
      </c>
      <c r="M36">
        <f t="shared" si="7"/>
        <v>-1.415</v>
      </c>
      <c r="N36">
        <f t="shared" si="8"/>
        <v>-1.6359999999999999</v>
      </c>
    </row>
    <row r="37" spans="1:14" x14ac:dyDescent="0.2">
      <c r="A37">
        <v>603</v>
      </c>
      <c r="B37">
        <v>129485.6</v>
      </c>
      <c r="C37">
        <v>474227.9</v>
      </c>
      <c r="D37">
        <v>6</v>
      </c>
      <c r="E37">
        <v>73.900000000000006</v>
      </c>
      <c r="F37">
        <v>129558</v>
      </c>
      <c r="G37">
        <v>474215</v>
      </c>
      <c r="H37">
        <v>1</v>
      </c>
      <c r="I37">
        <v>-2.6</v>
      </c>
      <c r="J37">
        <v>-2.6</v>
      </c>
      <c r="K37" t="str">
        <f t="shared" si="3"/>
        <v>W</v>
      </c>
      <c r="L37">
        <f t="shared" si="6"/>
        <v>0</v>
      </c>
      <c r="M37">
        <f t="shared" si="7"/>
        <v>-1.196</v>
      </c>
      <c r="N37">
        <f t="shared" si="8"/>
        <v>-1.4850000000000001</v>
      </c>
    </row>
    <row r="38" spans="1:14" x14ac:dyDescent="0.2">
      <c r="A38">
        <v>604</v>
      </c>
      <c r="B38">
        <v>129626.9</v>
      </c>
      <c r="C38">
        <v>474167.5</v>
      </c>
      <c r="D38">
        <v>6</v>
      </c>
      <c r="E38">
        <v>75.599999999999994</v>
      </c>
      <c r="F38">
        <v>129552</v>
      </c>
      <c r="G38">
        <v>474180</v>
      </c>
      <c r="H38">
        <v>-1</v>
      </c>
      <c r="I38">
        <v>-2.25</v>
      </c>
      <c r="J38">
        <v>-2.25</v>
      </c>
      <c r="K38" t="str">
        <f t="shared" si="3"/>
        <v>E</v>
      </c>
      <c r="L38" t="e">
        <f t="shared" si="6"/>
        <v>#N/A</v>
      </c>
      <c r="M38" t="e">
        <f t="shared" si="7"/>
        <v>#N/A</v>
      </c>
      <c r="N38" t="e">
        <f t="shared" si="8"/>
        <v>#N/A</v>
      </c>
    </row>
    <row r="39" spans="1:14" x14ac:dyDescent="0.2">
      <c r="A39">
        <v>605</v>
      </c>
      <c r="B39">
        <v>129792.1</v>
      </c>
      <c r="C39">
        <v>474183.5</v>
      </c>
      <c r="D39">
        <v>6</v>
      </c>
      <c r="E39">
        <v>235.7</v>
      </c>
      <c r="F39">
        <v>129560</v>
      </c>
      <c r="G39">
        <v>474224</v>
      </c>
      <c r="H39">
        <v>-1</v>
      </c>
      <c r="I39">
        <v>-2.25</v>
      </c>
      <c r="J39">
        <v>-2.25</v>
      </c>
      <c r="K39" t="str">
        <f t="shared" si="3"/>
        <v>E</v>
      </c>
      <c r="L39">
        <f t="shared" si="6"/>
        <v>0</v>
      </c>
      <c r="M39">
        <f t="shared" si="7"/>
        <v>-1.3740000000000001</v>
      </c>
      <c r="N39">
        <f t="shared" si="8"/>
        <v>-1.6</v>
      </c>
    </row>
    <row r="40" spans="1:14" x14ac:dyDescent="0.2">
      <c r="A40">
        <v>606</v>
      </c>
      <c r="B40">
        <v>129964.6</v>
      </c>
      <c r="C40">
        <v>474128.4</v>
      </c>
      <c r="D40">
        <v>6</v>
      </c>
      <c r="E40">
        <v>415</v>
      </c>
      <c r="F40">
        <v>129556</v>
      </c>
      <c r="G40">
        <v>474199</v>
      </c>
      <c r="H40">
        <v>-1</v>
      </c>
      <c r="I40">
        <v>-2.25</v>
      </c>
      <c r="J40">
        <v>-2.25</v>
      </c>
      <c r="K40" t="str">
        <f t="shared" si="3"/>
        <v>E</v>
      </c>
      <c r="L40">
        <f t="shared" si="6"/>
        <v>0</v>
      </c>
      <c r="M40">
        <f t="shared" si="7"/>
        <v>0</v>
      </c>
      <c r="N40">
        <f t="shared" si="8"/>
        <v>-1.6060000000000001</v>
      </c>
    </row>
    <row r="41" spans="1:14" x14ac:dyDescent="0.2">
      <c r="A41">
        <v>701</v>
      </c>
      <c r="B41">
        <v>128940.7</v>
      </c>
      <c r="C41">
        <v>473332.3</v>
      </c>
      <c r="D41">
        <v>7</v>
      </c>
      <c r="E41">
        <v>458.1</v>
      </c>
      <c r="F41">
        <v>129392</v>
      </c>
      <c r="G41">
        <v>473254</v>
      </c>
      <c r="H41">
        <v>1</v>
      </c>
      <c r="I41">
        <v>-2.6</v>
      </c>
      <c r="J41">
        <v>-2.6</v>
      </c>
      <c r="K41" t="str">
        <f t="shared" si="3"/>
        <v>W</v>
      </c>
      <c r="L41">
        <f t="shared" si="6"/>
        <v>0</v>
      </c>
      <c r="M41">
        <f t="shared" si="7"/>
        <v>-1.6120000000000001</v>
      </c>
      <c r="N41">
        <f t="shared" si="8"/>
        <v>-1.7130000000000001</v>
      </c>
    </row>
    <row r="42" spans="1:14" x14ac:dyDescent="0.2">
      <c r="A42">
        <v>702</v>
      </c>
      <c r="B42">
        <v>129338.8</v>
      </c>
      <c r="C42">
        <v>473371.4</v>
      </c>
      <c r="D42">
        <v>7</v>
      </c>
      <c r="E42">
        <v>72.5</v>
      </c>
      <c r="F42">
        <v>129410</v>
      </c>
      <c r="G42">
        <v>473359</v>
      </c>
      <c r="H42">
        <v>1</v>
      </c>
      <c r="I42">
        <v>-2.6</v>
      </c>
      <c r="J42">
        <v>-2.6</v>
      </c>
      <c r="K42" t="str">
        <f t="shared" si="3"/>
        <v>W</v>
      </c>
      <c r="L42">
        <f t="shared" si="6"/>
        <v>0</v>
      </c>
      <c r="M42">
        <f t="shared" si="7"/>
        <v>-1.036</v>
      </c>
      <c r="N42">
        <f t="shared" si="8"/>
        <v>-1.4239999999999999</v>
      </c>
    </row>
    <row r="43" spans="1:14" x14ac:dyDescent="0.2">
      <c r="A43">
        <v>703</v>
      </c>
      <c r="B43">
        <v>129483.8</v>
      </c>
      <c r="C43">
        <v>473360.7</v>
      </c>
      <c r="D43">
        <v>7</v>
      </c>
      <c r="E43">
        <v>72.2</v>
      </c>
      <c r="F43">
        <v>129413</v>
      </c>
      <c r="G43">
        <v>473373</v>
      </c>
      <c r="H43">
        <v>-1</v>
      </c>
      <c r="I43">
        <v>-2.25</v>
      </c>
      <c r="J43">
        <v>-2.25</v>
      </c>
      <c r="K43" t="str">
        <f t="shared" si="3"/>
        <v>E</v>
      </c>
      <c r="L43">
        <f t="shared" si="6"/>
        <v>0</v>
      </c>
      <c r="M43">
        <f t="shared" si="7"/>
        <v>0</v>
      </c>
      <c r="N43">
        <f t="shared" si="8"/>
        <v>-1.3939999999999999</v>
      </c>
    </row>
    <row r="44" spans="1:14" x14ac:dyDescent="0.2">
      <c r="A44">
        <v>704</v>
      </c>
      <c r="B44">
        <v>129636.1</v>
      </c>
      <c r="C44">
        <v>473362.5</v>
      </c>
      <c r="D44">
        <v>7</v>
      </c>
      <c r="E44">
        <v>222</v>
      </c>
      <c r="F44">
        <v>129417</v>
      </c>
      <c r="G44">
        <v>473400</v>
      </c>
      <c r="H44">
        <v>-1</v>
      </c>
      <c r="I44">
        <v>-2.25</v>
      </c>
      <c r="J44">
        <v>-2.25</v>
      </c>
      <c r="K44" t="str">
        <f t="shared" si="3"/>
        <v>E</v>
      </c>
      <c r="L44" t="e">
        <f t="shared" si="6"/>
        <v>#N/A</v>
      </c>
      <c r="M44" t="e">
        <f t="shared" si="7"/>
        <v>#N/A</v>
      </c>
      <c r="N44" t="e">
        <f t="shared" si="8"/>
        <v>#N/A</v>
      </c>
    </row>
    <row r="45" spans="1:14" x14ac:dyDescent="0.2">
      <c r="A45">
        <v>801</v>
      </c>
      <c r="B45">
        <v>129091.1</v>
      </c>
      <c r="C45">
        <v>472772.5</v>
      </c>
      <c r="D45">
        <v>8</v>
      </c>
      <c r="E45">
        <v>215</v>
      </c>
      <c r="F45">
        <v>129303</v>
      </c>
      <c r="G45">
        <v>472736</v>
      </c>
      <c r="H45">
        <v>1</v>
      </c>
      <c r="I45">
        <v>-2.33</v>
      </c>
      <c r="J45">
        <v>-2.33</v>
      </c>
      <c r="K45" t="str">
        <f t="shared" si="3"/>
        <v>W</v>
      </c>
      <c r="L45">
        <f t="shared" si="6"/>
        <v>0</v>
      </c>
      <c r="M45">
        <f t="shared" si="7"/>
        <v>-2.472</v>
      </c>
      <c r="N45">
        <f t="shared" si="8"/>
        <v>-2.6360000000000001</v>
      </c>
    </row>
    <row r="46" spans="1:14" x14ac:dyDescent="0.2">
      <c r="A46">
        <v>802</v>
      </c>
      <c r="B46">
        <v>129212.2</v>
      </c>
      <c r="C46">
        <v>472733.4</v>
      </c>
      <c r="D46">
        <v>8</v>
      </c>
      <c r="E46">
        <v>89</v>
      </c>
      <c r="F46">
        <v>129300</v>
      </c>
      <c r="G46">
        <v>472718</v>
      </c>
      <c r="H46">
        <v>1</v>
      </c>
      <c r="I46">
        <v>-2.33</v>
      </c>
      <c r="J46">
        <v>-2.33</v>
      </c>
      <c r="K46" t="str">
        <f t="shared" si="3"/>
        <v>W</v>
      </c>
      <c r="L46">
        <f t="shared" si="6"/>
        <v>0</v>
      </c>
      <c r="M46">
        <f t="shared" si="7"/>
        <v>-1.341</v>
      </c>
      <c r="N46">
        <f t="shared" si="8"/>
        <v>-1.524</v>
      </c>
    </row>
    <row r="47" spans="1:14" x14ac:dyDescent="0.2">
      <c r="A47">
        <v>803</v>
      </c>
      <c r="B47">
        <v>129382.9</v>
      </c>
      <c r="C47">
        <v>472920</v>
      </c>
      <c r="D47">
        <v>8</v>
      </c>
      <c r="E47">
        <v>47.6</v>
      </c>
      <c r="F47">
        <v>129336</v>
      </c>
      <c r="G47">
        <v>472928</v>
      </c>
      <c r="H47">
        <v>-1</v>
      </c>
      <c r="I47">
        <v>-2.33</v>
      </c>
      <c r="J47">
        <v>-2.33</v>
      </c>
      <c r="K47" t="str">
        <f t="shared" si="3"/>
        <v>E</v>
      </c>
      <c r="L47" t="e">
        <f t="shared" si="6"/>
        <v>#N/A</v>
      </c>
      <c r="M47" t="e">
        <f t="shared" si="7"/>
        <v>#N/A</v>
      </c>
      <c r="N47" t="e">
        <f t="shared" si="8"/>
        <v>#N/A</v>
      </c>
    </row>
    <row r="48" spans="1:14" x14ac:dyDescent="0.2">
      <c r="A48">
        <v>804</v>
      </c>
      <c r="B48">
        <v>129674.6</v>
      </c>
      <c r="C48">
        <v>472891.5</v>
      </c>
      <c r="D48">
        <v>8</v>
      </c>
      <c r="E48">
        <v>339.9</v>
      </c>
      <c r="F48">
        <v>129340</v>
      </c>
      <c r="G48">
        <v>472949</v>
      </c>
      <c r="H48">
        <v>-1</v>
      </c>
      <c r="I48">
        <v>-2.4</v>
      </c>
      <c r="J48">
        <v>-2.4</v>
      </c>
      <c r="K48" t="str">
        <f t="shared" si="3"/>
        <v>E</v>
      </c>
      <c r="L48" t="e">
        <f t="shared" si="6"/>
        <v>#N/A</v>
      </c>
      <c r="M48" t="e">
        <f t="shared" si="7"/>
        <v>#N/A</v>
      </c>
      <c r="N48" t="e">
        <f t="shared" si="8"/>
        <v>#N/A</v>
      </c>
    </row>
    <row r="49" spans="1:14" x14ac:dyDescent="0.2">
      <c r="A49">
        <v>805</v>
      </c>
      <c r="B49">
        <v>129876.5</v>
      </c>
      <c r="C49">
        <v>472950.2</v>
      </c>
      <c r="D49">
        <v>8</v>
      </c>
      <c r="E49">
        <v>529</v>
      </c>
      <c r="F49">
        <v>129355</v>
      </c>
      <c r="G49">
        <v>473040</v>
      </c>
      <c r="H49">
        <v>-1</v>
      </c>
      <c r="I49">
        <v>-2.4</v>
      </c>
      <c r="J49">
        <v>-2.4</v>
      </c>
      <c r="K49" t="str">
        <f t="shared" si="3"/>
        <v>E</v>
      </c>
      <c r="L49" t="e">
        <f t="shared" si="6"/>
        <v>#N/A</v>
      </c>
      <c r="M49" t="e">
        <f t="shared" si="7"/>
        <v>#N/A</v>
      </c>
      <c r="N49" t="e">
        <f t="shared" si="8"/>
        <v>#N/A</v>
      </c>
    </row>
    <row r="50" spans="1:14" x14ac:dyDescent="0.2">
      <c r="A50">
        <v>901</v>
      </c>
      <c r="B50">
        <v>128910.7</v>
      </c>
      <c r="C50">
        <v>471959.3</v>
      </c>
      <c r="D50">
        <v>9</v>
      </c>
      <c r="E50">
        <v>253.6</v>
      </c>
      <c r="F50">
        <v>129161</v>
      </c>
      <c r="G50">
        <v>471916</v>
      </c>
      <c r="H50">
        <v>1</v>
      </c>
      <c r="I50">
        <v>-2.25</v>
      </c>
      <c r="J50">
        <v>-2.25</v>
      </c>
      <c r="K50" t="str">
        <f t="shared" si="3"/>
        <v>W</v>
      </c>
      <c r="L50">
        <f t="shared" si="6"/>
        <v>0</v>
      </c>
      <c r="M50">
        <f t="shared" si="7"/>
        <v>0</v>
      </c>
      <c r="N50">
        <f t="shared" si="8"/>
        <v>-1.5209999999999999</v>
      </c>
    </row>
    <row r="51" spans="1:14" x14ac:dyDescent="0.2">
      <c r="A51">
        <v>902</v>
      </c>
      <c r="B51">
        <v>129040.4</v>
      </c>
      <c r="C51">
        <v>471922.1</v>
      </c>
      <c r="D51">
        <v>9</v>
      </c>
      <c r="E51">
        <v>119.5</v>
      </c>
      <c r="F51">
        <v>129158</v>
      </c>
      <c r="G51">
        <v>471902</v>
      </c>
      <c r="H51">
        <v>1</v>
      </c>
      <c r="I51">
        <v>-2.25</v>
      </c>
      <c r="J51">
        <v>-2.25</v>
      </c>
      <c r="K51" t="str">
        <f t="shared" si="3"/>
        <v>W</v>
      </c>
      <c r="L51">
        <f t="shared" si="6"/>
        <v>0</v>
      </c>
      <c r="M51">
        <f t="shared" si="7"/>
        <v>-1.395</v>
      </c>
      <c r="N51">
        <f t="shared" si="8"/>
        <v>-1.5509999999999999</v>
      </c>
    </row>
    <row r="52" spans="1:14" x14ac:dyDescent="0.2">
      <c r="A52">
        <v>903</v>
      </c>
      <c r="B52">
        <v>129094.7</v>
      </c>
      <c r="C52">
        <v>471916.7</v>
      </c>
      <c r="D52">
        <v>9</v>
      </c>
      <c r="E52">
        <v>65</v>
      </c>
      <c r="F52">
        <v>129159</v>
      </c>
      <c r="G52">
        <v>471906</v>
      </c>
      <c r="H52">
        <v>1</v>
      </c>
      <c r="I52">
        <v>-2.25</v>
      </c>
      <c r="J52">
        <v>-2.25</v>
      </c>
      <c r="K52" t="str">
        <f t="shared" si="3"/>
        <v>W</v>
      </c>
      <c r="L52">
        <f t="shared" si="6"/>
        <v>0</v>
      </c>
      <c r="M52">
        <f t="shared" si="7"/>
        <v>-1.325</v>
      </c>
      <c r="N52">
        <f t="shared" si="8"/>
        <v>-1.5309999999999999</v>
      </c>
    </row>
    <row r="53" spans="1:14" x14ac:dyDescent="0.2">
      <c r="A53">
        <v>904</v>
      </c>
      <c r="B53">
        <v>129227</v>
      </c>
      <c r="C53">
        <v>471888.8</v>
      </c>
      <c r="D53">
        <v>9</v>
      </c>
      <c r="E53">
        <v>70.099999999999994</v>
      </c>
      <c r="F53">
        <v>129158</v>
      </c>
      <c r="G53">
        <v>471901</v>
      </c>
      <c r="H53">
        <v>-1</v>
      </c>
      <c r="I53">
        <v>-2.25</v>
      </c>
      <c r="J53">
        <v>-2.25</v>
      </c>
      <c r="K53" t="str">
        <f t="shared" si="3"/>
        <v>E</v>
      </c>
      <c r="L53">
        <f t="shared" si="6"/>
        <v>0</v>
      </c>
      <c r="M53">
        <f t="shared" si="7"/>
        <v>-1.331</v>
      </c>
      <c r="N53">
        <f t="shared" si="8"/>
        <v>-1.5129999999999999</v>
      </c>
    </row>
    <row r="54" spans="1:14" x14ac:dyDescent="0.2">
      <c r="A54">
        <v>905</v>
      </c>
      <c r="B54">
        <v>129311.8</v>
      </c>
      <c r="C54">
        <v>471883.4</v>
      </c>
      <c r="D54">
        <v>9</v>
      </c>
      <c r="E54">
        <v>154.6</v>
      </c>
      <c r="F54">
        <v>129160</v>
      </c>
      <c r="G54">
        <v>471910</v>
      </c>
      <c r="H54">
        <v>-1</v>
      </c>
      <c r="I54">
        <v>-2.25</v>
      </c>
      <c r="J54">
        <v>-2.25</v>
      </c>
      <c r="K54" t="str">
        <f t="shared" si="3"/>
        <v>E</v>
      </c>
      <c r="L54">
        <f t="shared" si="6"/>
        <v>0</v>
      </c>
      <c r="M54">
        <f t="shared" si="7"/>
        <v>-1.321</v>
      </c>
      <c r="N54">
        <f t="shared" si="8"/>
        <v>-1.474</v>
      </c>
    </row>
    <row r="55" spans="1:14" x14ac:dyDescent="0.2">
      <c r="A55">
        <v>906</v>
      </c>
      <c r="B55">
        <v>129411</v>
      </c>
      <c r="C55">
        <v>471900.6</v>
      </c>
      <c r="D55">
        <v>9</v>
      </c>
      <c r="E55">
        <v>249.3</v>
      </c>
      <c r="F55">
        <v>129165</v>
      </c>
      <c r="G55">
        <v>471943</v>
      </c>
      <c r="H55">
        <v>-1</v>
      </c>
      <c r="I55">
        <v>-2.25</v>
      </c>
      <c r="J55">
        <v>-2.25</v>
      </c>
      <c r="K55" t="str">
        <f t="shared" si="3"/>
        <v>E</v>
      </c>
      <c r="L55">
        <f t="shared" si="6"/>
        <v>0</v>
      </c>
      <c r="M55">
        <f t="shared" si="7"/>
        <v>-1.3140000000000001</v>
      </c>
      <c r="N55">
        <f t="shared" si="8"/>
        <v>-1.446</v>
      </c>
    </row>
    <row r="56" spans="1:14" x14ac:dyDescent="0.2">
      <c r="A56">
        <v>1001</v>
      </c>
      <c r="B56">
        <v>128509.7</v>
      </c>
      <c r="C56">
        <v>470183.8</v>
      </c>
      <c r="D56">
        <v>10</v>
      </c>
      <c r="E56">
        <v>343.7</v>
      </c>
      <c r="F56">
        <v>128849</v>
      </c>
      <c r="G56">
        <v>470128</v>
      </c>
      <c r="H56">
        <v>1</v>
      </c>
      <c r="I56">
        <v>-2.5</v>
      </c>
      <c r="J56">
        <v>-2.5</v>
      </c>
      <c r="K56" t="str">
        <f t="shared" si="3"/>
        <v>W</v>
      </c>
      <c r="L56">
        <f t="shared" si="6"/>
        <v>0</v>
      </c>
      <c r="M56">
        <f t="shared" si="7"/>
        <v>-1.5640000000000001</v>
      </c>
      <c r="N56">
        <f t="shared" si="8"/>
        <v>-1.6919999999999999</v>
      </c>
    </row>
    <row r="57" spans="1:14" x14ac:dyDescent="0.2">
      <c r="A57">
        <v>1002</v>
      </c>
      <c r="B57">
        <v>128644.7</v>
      </c>
      <c r="C57">
        <v>470181.1</v>
      </c>
      <c r="D57">
        <v>10</v>
      </c>
      <c r="E57">
        <v>210.2</v>
      </c>
      <c r="F57">
        <v>128852</v>
      </c>
      <c r="G57">
        <v>470145</v>
      </c>
      <c r="H57">
        <v>1</v>
      </c>
      <c r="I57">
        <v>-2.2000000000000002</v>
      </c>
      <c r="J57">
        <v>-2.2999999999999998</v>
      </c>
      <c r="K57" t="str">
        <f t="shared" si="3"/>
        <v>W</v>
      </c>
      <c r="L57">
        <f t="shared" si="6"/>
        <v>0</v>
      </c>
      <c r="M57">
        <f t="shared" si="7"/>
        <v>-1.3580000000000001</v>
      </c>
      <c r="N57">
        <f t="shared" si="8"/>
        <v>-1.5149999999999999</v>
      </c>
    </row>
    <row r="58" spans="1:14" x14ac:dyDescent="0.2">
      <c r="A58">
        <v>1003</v>
      </c>
      <c r="B58">
        <v>128740</v>
      </c>
      <c r="C58">
        <v>470170.5</v>
      </c>
      <c r="D58">
        <v>10</v>
      </c>
      <c r="E58">
        <v>114.5</v>
      </c>
      <c r="F58">
        <v>128853</v>
      </c>
      <c r="G58">
        <v>470151</v>
      </c>
      <c r="H58">
        <v>1</v>
      </c>
      <c r="I58">
        <v>-2.2000000000000002</v>
      </c>
      <c r="J58">
        <v>-2.2999999999999998</v>
      </c>
      <c r="K58" t="str">
        <f t="shared" si="3"/>
        <v>W</v>
      </c>
      <c r="L58">
        <f t="shared" si="6"/>
        <v>0</v>
      </c>
      <c r="M58">
        <f t="shared" si="7"/>
        <v>-1.1930000000000001</v>
      </c>
      <c r="N58">
        <f t="shared" si="8"/>
        <v>-1.423</v>
      </c>
    </row>
    <row r="59" spans="1:14" x14ac:dyDescent="0.2">
      <c r="A59">
        <v>1004</v>
      </c>
      <c r="B59">
        <v>128916</v>
      </c>
      <c r="C59">
        <v>470163.7</v>
      </c>
      <c r="D59">
        <v>10</v>
      </c>
      <c r="E59">
        <v>60</v>
      </c>
      <c r="F59">
        <v>128857</v>
      </c>
      <c r="G59">
        <v>470174</v>
      </c>
      <c r="H59">
        <v>-1</v>
      </c>
      <c r="I59">
        <v>-1.8</v>
      </c>
      <c r="J59">
        <v>-2</v>
      </c>
      <c r="K59" t="str">
        <f t="shared" si="3"/>
        <v>E</v>
      </c>
      <c r="L59">
        <f t="shared" si="6"/>
        <v>0</v>
      </c>
      <c r="M59">
        <f t="shared" si="7"/>
        <v>-0.89500000000000002</v>
      </c>
      <c r="N59">
        <f t="shared" si="8"/>
        <v>-1.17</v>
      </c>
    </row>
    <row r="60" spans="1:14" x14ac:dyDescent="0.2">
      <c r="A60">
        <v>1005</v>
      </c>
      <c r="B60">
        <v>129073.5</v>
      </c>
      <c r="C60">
        <v>470077.4</v>
      </c>
      <c r="D60">
        <v>10</v>
      </c>
      <c r="E60">
        <v>229.9</v>
      </c>
      <c r="F60">
        <v>128847</v>
      </c>
      <c r="G60">
        <v>470115</v>
      </c>
      <c r="H60">
        <v>-1</v>
      </c>
      <c r="I60">
        <v>-1.8</v>
      </c>
      <c r="J60">
        <v>-2</v>
      </c>
      <c r="K60" t="str">
        <f t="shared" si="3"/>
        <v>E</v>
      </c>
      <c r="L60">
        <f t="shared" si="6"/>
        <v>0</v>
      </c>
      <c r="M60">
        <f t="shared" si="7"/>
        <v>-1.1759999999999999</v>
      </c>
      <c r="N60">
        <f t="shared" si="8"/>
        <v>-1.3220000000000001</v>
      </c>
    </row>
    <row r="61" spans="1:14" x14ac:dyDescent="0.2">
      <c r="A61">
        <v>1006</v>
      </c>
      <c r="B61">
        <v>129208.5</v>
      </c>
      <c r="C61">
        <v>470131.7</v>
      </c>
      <c r="D61">
        <v>10</v>
      </c>
      <c r="E61">
        <v>353.6</v>
      </c>
      <c r="F61">
        <v>128860</v>
      </c>
      <c r="G61">
        <v>470193</v>
      </c>
      <c r="H61">
        <v>-1</v>
      </c>
      <c r="I61">
        <v>-1.8</v>
      </c>
      <c r="J61">
        <v>-2</v>
      </c>
      <c r="K61" t="str">
        <f t="shared" si="3"/>
        <v>E</v>
      </c>
      <c r="L61" t="e">
        <f t="shared" si="6"/>
        <v>#N/A</v>
      </c>
      <c r="M61" t="e">
        <f t="shared" si="7"/>
        <v>#N/A</v>
      </c>
      <c r="N61" t="e">
        <f t="shared" si="8"/>
        <v>#N/A</v>
      </c>
    </row>
    <row r="62" spans="1:14" x14ac:dyDescent="0.2">
      <c r="A62">
        <v>9001</v>
      </c>
      <c r="B62">
        <v>129880.9</v>
      </c>
      <c r="C62">
        <v>470098.2</v>
      </c>
      <c r="D62">
        <v>10</v>
      </c>
      <c r="E62">
        <v>1021.7</v>
      </c>
      <c r="F62">
        <v>128875</v>
      </c>
      <c r="G62">
        <v>470275</v>
      </c>
      <c r="H62">
        <v>-1</v>
      </c>
      <c r="I62">
        <v>-1.55</v>
      </c>
      <c r="J62">
        <v>-1.75</v>
      </c>
      <c r="K62" t="str">
        <f t="shared" si="3"/>
        <v>E</v>
      </c>
      <c r="L62" t="e">
        <f t="shared" si="6"/>
        <v>#N/A</v>
      </c>
      <c r="M62" t="e">
        <f t="shared" si="7"/>
        <v>#N/A</v>
      </c>
      <c r="N62" t="e">
        <f t="shared" si="8"/>
        <v>#N/A</v>
      </c>
    </row>
    <row r="63" spans="1:14" x14ac:dyDescent="0.2">
      <c r="A63">
        <v>9003</v>
      </c>
      <c r="B63">
        <v>127894.2</v>
      </c>
      <c r="C63">
        <v>469952.1</v>
      </c>
      <c r="D63">
        <v>11</v>
      </c>
      <c r="E63">
        <v>913.2</v>
      </c>
      <c r="F63">
        <v>128795</v>
      </c>
      <c r="G63">
        <v>469803</v>
      </c>
      <c r="H63">
        <v>1</v>
      </c>
      <c r="I63">
        <v>-2.25</v>
      </c>
      <c r="J63">
        <v>-2.25</v>
      </c>
      <c r="K63" t="str">
        <f t="shared" si="3"/>
        <v>W</v>
      </c>
      <c r="L63">
        <f t="shared" si="6"/>
        <v>0</v>
      </c>
      <c r="M63">
        <f t="shared" si="7"/>
        <v>0</v>
      </c>
      <c r="N63">
        <f t="shared" si="8"/>
        <v>-1.86</v>
      </c>
    </row>
    <row r="64" spans="1:14" x14ac:dyDescent="0.2">
      <c r="A64">
        <v>1101</v>
      </c>
      <c r="B64">
        <v>128013.4</v>
      </c>
      <c r="C64">
        <v>469713.4</v>
      </c>
      <c r="D64">
        <v>11</v>
      </c>
      <c r="E64">
        <v>756.7</v>
      </c>
      <c r="F64">
        <v>128760</v>
      </c>
      <c r="G64">
        <v>469590</v>
      </c>
      <c r="H64">
        <v>1</v>
      </c>
      <c r="I64">
        <v>-2.2000000000000002</v>
      </c>
      <c r="J64">
        <v>-2.2999999999999998</v>
      </c>
      <c r="K64" t="str">
        <f t="shared" si="3"/>
        <v>W</v>
      </c>
      <c r="L64">
        <f t="shared" si="6"/>
        <v>-1.901</v>
      </c>
      <c r="M64">
        <f t="shared" si="7"/>
        <v>-1.911</v>
      </c>
      <c r="N64">
        <f t="shared" si="8"/>
        <v>-1.92</v>
      </c>
    </row>
    <row r="65" spans="1:14" x14ac:dyDescent="0.2">
      <c r="A65">
        <v>1102</v>
      </c>
      <c r="B65">
        <v>128217.2</v>
      </c>
      <c r="C65">
        <v>469593.9</v>
      </c>
      <c r="D65">
        <v>11</v>
      </c>
      <c r="E65">
        <v>536.1</v>
      </c>
      <c r="F65">
        <v>128746</v>
      </c>
      <c r="G65">
        <v>469506</v>
      </c>
      <c r="H65">
        <v>1</v>
      </c>
      <c r="I65">
        <v>-2.2000000000000002</v>
      </c>
      <c r="J65">
        <v>-2.2999999999999998</v>
      </c>
      <c r="K65" t="str">
        <f t="shared" si="3"/>
        <v>W</v>
      </c>
      <c r="L65">
        <f t="shared" si="6"/>
        <v>-1.8819999999999999</v>
      </c>
      <c r="M65">
        <f t="shared" si="7"/>
        <v>-1.8859999999999999</v>
      </c>
      <c r="N65">
        <f t="shared" si="8"/>
        <v>-1.903</v>
      </c>
    </row>
    <row r="66" spans="1:14" x14ac:dyDescent="0.2">
      <c r="A66">
        <v>1103</v>
      </c>
      <c r="B66">
        <v>128439.5</v>
      </c>
      <c r="C66">
        <v>469461.2</v>
      </c>
      <c r="D66">
        <v>11</v>
      </c>
      <c r="E66">
        <v>295.2</v>
      </c>
      <c r="F66">
        <v>128731</v>
      </c>
      <c r="G66">
        <v>469413</v>
      </c>
      <c r="H66">
        <v>1</v>
      </c>
      <c r="I66">
        <v>-2.2000000000000002</v>
      </c>
      <c r="J66">
        <v>-2.2999999999999998</v>
      </c>
      <c r="K66" t="str">
        <f t="shared" si="3"/>
        <v>W</v>
      </c>
      <c r="L66">
        <f t="shared" ref="L66:L78" si="9">VLOOKUP("Pb"&amp;$A66,yyy,5,FALSE)</f>
        <v>-1.7509999999999999</v>
      </c>
      <c r="M66">
        <f t="shared" ref="M66:M78" si="10">VLOOKUP("Pb"&amp;$A66,yyy,6,FALSE)</f>
        <v>-1.714</v>
      </c>
      <c r="N66">
        <f t="shared" ref="N66:N78" si="11">VLOOKUP("Pb"&amp;$A66,yyy,7,FALSE)</f>
        <v>-1.7649999999999999</v>
      </c>
    </row>
    <row r="67" spans="1:14" x14ac:dyDescent="0.2">
      <c r="A67">
        <v>1104</v>
      </c>
      <c r="B67">
        <v>128581.2</v>
      </c>
      <c r="C67">
        <v>469397.4</v>
      </c>
      <c r="D67">
        <v>11</v>
      </c>
      <c r="E67">
        <v>144.9</v>
      </c>
      <c r="F67">
        <v>128724</v>
      </c>
      <c r="G67">
        <v>469374</v>
      </c>
      <c r="H67">
        <v>1</v>
      </c>
      <c r="I67">
        <v>-2.2000000000000002</v>
      </c>
      <c r="J67">
        <v>-2.2999999999999998</v>
      </c>
      <c r="K67" t="str">
        <f t="shared" si="3"/>
        <v>W</v>
      </c>
      <c r="L67">
        <f t="shared" si="9"/>
        <v>-1.5820000000000001</v>
      </c>
      <c r="M67">
        <f t="shared" si="10"/>
        <v>-1.47</v>
      </c>
      <c r="N67">
        <f t="shared" si="11"/>
        <v>-1.597</v>
      </c>
    </row>
    <row r="68" spans="1:14" x14ac:dyDescent="0.2">
      <c r="A68">
        <v>1105</v>
      </c>
      <c r="B68">
        <v>128782.3</v>
      </c>
      <c r="C68">
        <v>469307.1</v>
      </c>
      <c r="D68">
        <v>11</v>
      </c>
      <c r="E68">
        <v>68.2</v>
      </c>
      <c r="F68">
        <v>128715</v>
      </c>
      <c r="G68">
        <v>469318</v>
      </c>
      <c r="H68">
        <v>-1</v>
      </c>
      <c r="I68">
        <v>-1.8</v>
      </c>
      <c r="J68">
        <v>-2</v>
      </c>
      <c r="K68" t="str">
        <f t="shared" si="3"/>
        <v>E</v>
      </c>
      <c r="L68">
        <f t="shared" si="9"/>
        <v>0</v>
      </c>
      <c r="M68">
        <f t="shared" si="10"/>
        <v>-1.1559999999999999</v>
      </c>
      <c r="N68">
        <f t="shared" si="11"/>
        <v>-1.3460000000000001</v>
      </c>
    </row>
    <row r="69" spans="1:14" x14ac:dyDescent="0.2">
      <c r="A69">
        <v>1106</v>
      </c>
      <c r="B69">
        <v>128943.8</v>
      </c>
      <c r="C69">
        <v>469273.9</v>
      </c>
      <c r="D69">
        <v>11</v>
      </c>
      <c r="E69">
        <v>232.9</v>
      </c>
      <c r="F69">
        <v>128714</v>
      </c>
      <c r="G69">
        <v>469312</v>
      </c>
      <c r="H69">
        <v>-1</v>
      </c>
      <c r="I69">
        <v>-1.8</v>
      </c>
      <c r="J69">
        <v>-2</v>
      </c>
      <c r="K69" t="str">
        <f t="shared" ref="K69:K78" si="12">IF(H69&gt;0,"W","E")</f>
        <v>E</v>
      </c>
      <c r="L69">
        <f t="shared" si="9"/>
        <v>0</v>
      </c>
      <c r="M69">
        <f t="shared" si="10"/>
        <v>-1.2250000000000001</v>
      </c>
      <c r="N69">
        <f t="shared" si="11"/>
        <v>-1.3680000000000001</v>
      </c>
    </row>
    <row r="70" spans="1:14" x14ac:dyDescent="0.2">
      <c r="A70">
        <v>1201</v>
      </c>
      <c r="B70">
        <v>128295.3</v>
      </c>
      <c r="C70">
        <v>468726.6</v>
      </c>
      <c r="D70">
        <v>12</v>
      </c>
      <c r="E70">
        <v>309.8</v>
      </c>
      <c r="F70">
        <v>128601</v>
      </c>
      <c r="G70">
        <v>468674</v>
      </c>
      <c r="H70">
        <v>1</v>
      </c>
      <c r="I70">
        <v>-2.2000000000000002</v>
      </c>
      <c r="J70">
        <v>-2.2999999999999998</v>
      </c>
      <c r="K70" t="str">
        <f t="shared" si="12"/>
        <v>W</v>
      </c>
      <c r="L70">
        <f t="shared" si="9"/>
        <v>0</v>
      </c>
      <c r="M70">
        <f t="shared" si="10"/>
        <v>0</v>
      </c>
      <c r="N70">
        <f t="shared" si="11"/>
        <v>-1.6140000000000001</v>
      </c>
    </row>
    <row r="71" spans="1:14" x14ac:dyDescent="0.2">
      <c r="A71">
        <v>1202</v>
      </c>
      <c r="B71">
        <v>128377.3</v>
      </c>
      <c r="C71">
        <v>468657.6</v>
      </c>
      <c r="D71">
        <v>12</v>
      </c>
      <c r="E71">
        <v>217.2</v>
      </c>
      <c r="F71">
        <v>128591</v>
      </c>
      <c r="G71">
        <v>468621</v>
      </c>
      <c r="H71">
        <v>1</v>
      </c>
      <c r="I71">
        <v>-2.2000000000000002</v>
      </c>
      <c r="J71">
        <v>-2.2999999999999998</v>
      </c>
      <c r="K71" t="str">
        <f t="shared" si="12"/>
        <v>W</v>
      </c>
      <c r="L71">
        <f t="shared" si="9"/>
        <v>0</v>
      </c>
      <c r="M71">
        <f t="shared" si="10"/>
        <v>0</v>
      </c>
      <c r="N71">
        <f t="shared" si="11"/>
        <v>-1.5640000000000001</v>
      </c>
    </row>
    <row r="72" spans="1:14" x14ac:dyDescent="0.2">
      <c r="A72">
        <v>1203</v>
      </c>
      <c r="B72">
        <v>128513.7</v>
      </c>
      <c r="C72">
        <v>468580.6</v>
      </c>
      <c r="D72">
        <v>12</v>
      </c>
      <c r="E72">
        <v>69.7</v>
      </c>
      <c r="F72">
        <v>128582</v>
      </c>
      <c r="G72">
        <v>468569</v>
      </c>
      <c r="H72">
        <v>1</v>
      </c>
      <c r="I72">
        <v>-2.2000000000000002</v>
      </c>
      <c r="J72">
        <v>-2.2999999999999998</v>
      </c>
      <c r="K72" t="str">
        <f t="shared" si="12"/>
        <v>W</v>
      </c>
      <c r="L72">
        <f t="shared" si="9"/>
        <v>0</v>
      </c>
      <c r="M72">
        <f t="shared" si="10"/>
        <v>-1.2509999999999999</v>
      </c>
      <c r="N72">
        <f t="shared" si="11"/>
        <v>-1.431</v>
      </c>
    </row>
    <row r="73" spans="1:14" x14ac:dyDescent="0.2">
      <c r="A73">
        <v>1204</v>
      </c>
      <c r="B73">
        <v>128700.3</v>
      </c>
      <c r="C73">
        <v>468557.9</v>
      </c>
      <c r="D73">
        <v>12</v>
      </c>
      <c r="E73">
        <v>118.1</v>
      </c>
      <c r="F73">
        <v>128584</v>
      </c>
      <c r="G73">
        <v>468578</v>
      </c>
      <c r="H73">
        <v>-1</v>
      </c>
      <c r="I73">
        <v>-1.8</v>
      </c>
      <c r="J73">
        <v>-2</v>
      </c>
      <c r="K73" t="str">
        <f t="shared" si="12"/>
        <v>E</v>
      </c>
      <c r="L73" t="e">
        <f t="shared" si="9"/>
        <v>#N/A</v>
      </c>
      <c r="M73" t="e">
        <f t="shared" si="10"/>
        <v>#N/A</v>
      </c>
      <c r="N73" t="e">
        <f t="shared" si="11"/>
        <v>#N/A</v>
      </c>
    </row>
    <row r="74" spans="1:14" x14ac:dyDescent="0.2">
      <c r="A74">
        <v>1205</v>
      </c>
      <c r="B74">
        <v>129077.5</v>
      </c>
      <c r="C74">
        <v>468271.3</v>
      </c>
      <c r="D74">
        <v>12</v>
      </c>
      <c r="E74">
        <v>538.6</v>
      </c>
      <c r="F74">
        <v>128547</v>
      </c>
      <c r="G74">
        <v>468362</v>
      </c>
      <c r="H74">
        <v>-1</v>
      </c>
      <c r="I74">
        <v>-1.8</v>
      </c>
      <c r="J74">
        <v>-2</v>
      </c>
      <c r="K74" t="str">
        <f t="shared" si="12"/>
        <v>E</v>
      </c>
      <c r="L74" t="e">
        <f t="shared" si="9"/>
        <v>#N/A</v>
      </c>
      <c r="M74" t="e">
        <f t="shared" si="10"/>
        <v>#N/A</v>
      </c>
      <c r="N74" t="e">
        <f t="shared" si="11"/>
        <v>#N/A</v>
      </c>
    </row>
    <row r="75" spans="1:14" x14ac:dyDescent="0.2">
      <c r="A75">
        <v>1301</v>
      </c>
      <c r="B75">
        <v>128057</v>
      </c>
      <c r="C75">
        <v>467029.3</v>
      </c>
      <c r="D75">
        <v>13</v>
      </c>
      <c r="E75">
        <v>254.6</v>
      </c>
      <c r="F75">
        <v>128308</v>
      </c>
      <c r="G75">
        <v>466987</v>
      </c>
      <c r="H75">
        <v>1</v>
      </c>
      <c r="I75">
        <v>-1.95</v>
      </c>
      <c r="J75">
        <v>-1.95</v>
      </c>
      <c r="K75" t="str">
        <f t="shared" si="12"/>
        <v>W</v>
      </c>
      <c r="L75">
        <f t="shared" si="9"/>
        <v>0</v>
      </c>
      <c r="M75">
        <f t="shared" si="10"/>
        <v>0</v>
      </c>
      <c r="N75">
        <f t="shared" si="11"/>
        <v>-1.284</v>
      </c>
    </row>
    <row r="76" spans="1:14" x14ac:dyDescent="0.2">
      <c r="A76">
        <v>1302</v>
      </c>
      <c r="B76">
        <v>128262.2</v>
      </c>
      <c r="C76">
        <v>467070.3</v>
      </c>
      <c r="D76">
        <v>13</v>
      </c>
      <c r="E76">
        <v>59.4</v>
      </c>
      <c r="F76">
        <v>128321</v>
      </c>
      <c r="G76">
        <v>467060</v>
      </c>
      <c r="H76">
        <v>1</v>
      </c>
      <c r="I76">
        <v>-1.95</v>
      </c>
      <c r="J76">
        <v>-1.95</v>
      </c>
      <c r="K76" t="str">
        <f t="shared" si="12"/>
        <v>W</v>
      </c>
      <c r="L76">
        <f t="shared" si="9"/>
        <v>0</v>
      </c>
      <c r="M76">
        <f t="shared" si="10"/>
        <v>-0.88600000000000001</v>
      </c>
      <c r="N76">
        <f t="shared" si="11"/>
        <v>-1.1819999999999999</v>
      </c>
    </row>
    <row r="77" spans="1:14" x14ac:dyDescent="0.2">
      <c r="A77">
        <v>1303</v>
      </c>
      <c r="B77">
        <v>128401.2</v>
      </c>
      <c r="C77">
        <v>467046.3</v>
      </c>
      <c r="D77">
        <v>13</v>
      </c>
      <c r="E77">
        <v>81.7</v>
      </c>
      <c r="F77">
        <v>128321</v>
      </c>
      <c r="G77">
        <v>467060</v>
      </c>
      <c r="H77">
        <v>-1</v>
      </c>
      <c r="I77">
        <v>-1.45</v>
      </c>
      <c r="J77">
        <v>-1.65</v>
      </c>
      <c r="K77" t="str">
        <f t="shared" si="12"/>
        <v>E</v>
      </c>
      <c r="L77">
        <f t="shared" si="9"/>
        <v>0</v>
      </c>
      <c r="M77">
        <f t="shared" si="10"/>
        <v>-0.93300000000000005</v>
      </c>
      <c r="N77">
        <f t="shared" si="11"/>
        <v>-1.1859999999999999</v>
      </c>
    </row>
    <row r="78" spans="1:14" x14ac:dyDescent="0.2">
      <c r="A78">
        <v>1304</v>
      </c>
      <c r="B78">
        <v>128724.1</v>
      </c>
      <c r="C78">
        <v>467062.1</v>
      </c>
      <c r="D78">
        <v>13</v>
      </c>
      <c r="E78">
        <v>396.9</v>
      </c>
      <c r="F78">
        <v>128333</v>
      </c>
      <c r="G78">
        <v>467131</v>
      </c>
      <c r="H78">
        <v>-1</v>
      </c>
      <c r="I78">
        <v>-1.45</v>
      </c>
      <c r="J78">
        <v>-1.65</v>
      </c>
      <c r="K78" t="str">
        <f t="shared" si="12"/>
        <v>E</v>
      </c>
      <c r="L78">
        <f t="shared" si="9"/>
        <v>0</v>
      </c>
      <c r="M78">
        <f t="shared" si="10"/>
        <v>-1.2070000000000001</v>
      </c>
      <c r="N78">
        <f t="shared" si="11"/>
        <v>-1.3720000000000001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120DA-4889-CE46-967A-1E97B2CF047D}">
  <dimension ref="A1:N25"/>
  <sheetViews>
    <sheetView workbookViewId="0">
      <selection activeCell="C20" sqref="C20"/>
    </sheetView>
  </sheetViews>
  <sheetFormatPr baseColWidth="10" defaultRowHeight="16" x14ac:dyDescent="0.2"/>
  <sheetData>
    <row r="1" spans="1:14" x14ac:dyDescent="0.2">
      <c r="A1" t="s">
        <v>2</v>
      </c>
      <c r="B1" t="s">
        <v>0</v>
      </c>
      <c r="C1" t="s">
        <v>1</v>
      </c>
      <c r="D1" t="s">
        <v>9</v>
      </c>
      <c r="E1" t="s">
        <v>16</v>
      </c>
      <c r="F1" t="s">
        <v>8</v>
      </c>
      <c r="G1" t="s">
        <v>13</v>
      </c>
      <c r="H1" t="s">
        <v>12</v>
      </c>
      <c r="I1" t="s">
        <v>11</v>
      </c>
      <c r="J1" t="s">
        <v>10</v>
      </c>
      <c r="K1" t="s">
        <v>15</v>
      </c>
      <c r="L1" t="s">
        <v>6</v>
      </c>
      <c r="M1" t="s">
        <v>7</v>
      </c>
      <c r="N1" t="s">
        <v>84</v>
      </c>
    </row>
    <row r="2" spans="1:14" x14ac:dyDescent="0.2">
      <c r="A2">
        <v>1</v>
      </c>
      <c r="B2" s="3">
        <v>129709.5</v>
      </c>
      <c r="C2" s="3">
        <v>475363.5</v>
      </c>
      <c r="D2">
        <v>4</v>
      </c>
      <c r="E2" s="1" t="s">
        <v>17</v>
      </c>
      <c r="F2" t="s">
        <v>5</v>
      </c>
      <c r="G2">
        <v>48.5</v>
      </c>
      <c r="H2">
        <v>-2.75</v>
      </c>
      <c r="I2">
        <v>-5.25</v>
      </c>
      <c r="J2">
        <f t="shared" ref="J2:J5" si="0">H2-I2</f>
        <v>2.5</v>
      </c>
      <c r="K2">
        <v>0</v>
      </c>
      <c r="L2">
        <v>-0.4</v>
      </c>
      <c r="M2">
        <v>-0.4</v>
      </c>
      <c r="N2">
        <f t="shared" ref="N2:N11" si="1">VLOOKUP("Pb"&amp;$A2,yyy,7,FALSE)</f>
        <v>-1.3220000000000001</v>
      </c>
    </row>
    <row r="3" spans="1:14" x14ac:dyDescent="0.2">
      <c r="A3">
        <v>2</v>
      </c>
      <c r="B3" s="3">
        <v>129824.5</v>
      </c>
      <c r="C3" s="3">
        <v>475375.5</v>
      </c>
      <c r="D3">
        <v>4</v>
      </c>
      <c r="E3" s="1" t="s">
        <v>18</v>
      </c>
      <c r="F3" t="s">
        <v>14</v>
      </c>
      <c r="G3">
        <v>51.5</v>
      </c>
      <c r="H3">
        <v>-3.25</v>
      </c>
      <c r="I3">
        <v>-5.25</v>
      </c>
      <c r="J3">
        <f t="shared" si="0"/>
        <v>2</v>
      </c>
      <c r="K3">
        <v>0</v>
      </c>
      <c r="L3">
        <v>-2.2999999999999998</v>
      </c>
      <c r="M3">
        <v>-2.2999999999999998</v>
      </c>
      <c r="N3">
        <f t="shared" si="1"/>
        <v>-1.3759999999999999</v>
      </c>
    </row>
    <row r="4" spans="1:14" x14ac:dyDescent="0.2">
      <c r="A4">
        <v>3</v>
      </c>
      <c r="B4" s="3">
        <v>129798.5</v>
      </c>
      <c r="C4" s="3">
        <v>475375.5</v>
      </c>
      <c r="D4">
        <v>4</v>
      </c>
      <c r="E4" s="1" t="s">
        <v>17</v>
      </c>
      <c r="F4" t="s">
        <v>14</v>
      </c>
      <c r="G4">
        <v>48.5</v>
      </c>
      <c r="H4">
        <v>-2</v>
      </c>
      <c r="I4">
        <v>-5.25</v>
      </c>
      <c r="J4">
        <f t="shared" si="0"/>
        <v>3.25</v>
      </c>
      <c r="K4">
        <v>1</v>
      </c>
      <c r="L4">
        <v>-0.4</v>
      </c>
      <c r="M4">
        <v>-0.4</v>
      </c>
      <c r="N4">
        <f t="shared" si="1"/>
        <v>-1.1439999999999999</v>
      </c>
    </row>
    <row r="5" spans="1:14" x14ac:dyDescent="0.2">
      <c r="A5">
        <v>4</v>
      </c>
      <c r="B5" s="3">
        <v>129629.5</v>
      </c>
      <c r="C5" s="3">
        <v>474900.5</v>
      </c>
      <c r="D5">
        <v>5</v>
      </c>
      <c r="E5" s="1" t="s">
        <v>17</v>
      </c>
      <c r="F5" t="s">
        <v>5</v>
      </c>
      <c r="G5">
        <v>48.5</v>
      </c>
      <c r="H5">
        <v>-3.75</v>
      </c>
      <c r="I5">
        <v>-5.5</v>
      </c>
      <c r="J5">
        <f t="shared" si="0"/>
        <v>1.75</v>
      </c>
      <c r="K5">
        <v>0</v>
      </c>
      <c r="L5">
        <v>-0.4</v>
      </c>
      <c r="M5">
        <v>-0.4</v>
      </c>
      <c r="N5">
        <f t="shared" si="1"/>
        <v>-1.403</v>
      </c>
    </row>
    <row r="6" spans="1:14" x14ac:dyDescent="0.2">
      <c r="A6">
        <v>5</v>
      </c>
      <c r="B6" s="3">
        <v>129720.5</v>
      </c>
      <c r="C6" s="3">
        <v>474901.5</v>
      </c>
      <c r="D6">
        <v>5</v>
      </c>
      <c r="E6" s="1" t="s">
        <v>17</v>
      </c>
      <c r="F6" t="s">
        <v>14</v>
      </c>
      <c r="G6">
        <v>48.5</v>
      </c>
      <c r="H6">
        <v>-3.75</v>
      </c>
      <c r="I6">
        <v>-4.5</v>
      </c>
      <c r="J6">
        <f>H6-I6</f>
        <v>0.75</v>
      </c>
      <c r="K6">
        <v>0</v>
      </c>
      <c r="L6">
        <v>-0.4</v>
      </c>
      <c r="M6">
        <v>-0.4</v>
      </c>
      <c r="N6">
        <f t="shared" si="1"/>
        <v>-1.3819999999999999</v>
      </c>
    </row>
    <row r="7" spans="1:14" x14ac:dyDescent="0.2">
      <c r="A7">
        <v>6</v>
      </c>
      <c r="B7" s="3">
        <v>129720.5</v>
      </c>
      <c r="C7" s="3">
        <v>472009.5</v>
      </c>
      <c r="D7">
        <v>5</v>
      </c>
      <c r="E7" s="1" t="s">
        <v>18</v>
      </c>
      <c r="F7" t="s">
        <v>14</v>
      </c>
      <c r="G7">
        <v>51.5</v>
      </c>
      <c r="H7">
        <v>-1.5</v>
      </c>
      <c r="I7">
        <v>-4.25</v>
      </c>
      <c r="J7">
        <f t="shared" ref="J7:J11" si="2">H7-I7</f>
        <v>2.75</v>
      </c>
      <c r="K7">
        <v>1</v>
      </c>
      <c r="L7">
        <v>-2.2999999999999998</v>
      </c>
      <c r="M7">
        <v>-2.2999999999999998</v>
      </c>
      <c r="N7">
        <f t="shared" si="1"/>
        <v>-1.502</v>
      </c>
    </row>
    <row r="8" spans="1:14" x14ac:dyDescent="0.2">
      <c r="A8">
        <v>7</v>
      </c>
      <c r="B8" s="3">
        <v>129129.5</v>
      </c>
      <c r="C8" s="3">
        <v>471968.5</v>
      </c>
      <c r="D8">
        <v>9</v>
      </c>
      <c r="E8" s="1" t="s">
        <v>17</v>
      </c>
      <c r="F8" t="s">
        <v>5</v>
      </c>
      <c r="G8">
        <v>48.5</v>
      </c>
      <c r="H8">
        <v>-3.75</v>
      </c>
      <c r="I8">
        <v>-6.75</v>
      </c>
      <c r="J8">
        <f t="shared" si="2"/>
        <v>3</v>
      </c>
      <c r="K8">
        <v>0</v>
      </c>
      <c r="L8">
        <v>-0.4</v>
      </c>
      <c r="M8">
        <v>-0.4</v>
      </c>
      <c r="N8">
        <f t="shared" si="1"/>
        <v>-1.4890000000000001</v>
      </c>
    </row>
    <row r="9" spans="1:14" x14ac:dyDescent="0.2">
      <c r="A9">
        <v>8</v>
      </c>
      <c r="B9" s="3">
        <v>129212.5</v>
      </c>
      <c r="C9" s="3">
        <v>471972.5</v>
      </c>
      <c r="D9">
        <v>9</v>
      </c>
      <c r="E9" s="1" t="s">
        <v>18</v>
      </c>
      <c r="F9" t="s">
        <v>14</v>
      </c>
      <c r="G9">
        <v>51.5</v>
      </c>
      <c r="H9">
        <v>-4</v>
      </c>
      <c r="I9">
        <v>-7.25</v>
      </c>
      <c r="J9">
        <f t="shared" si="2"/>
        <v>3.25</v>
      </c>
      <c r="K9">
        <v>0</v>
      </c>
      <c r="L9">
        <v>-2.25</v>
      </c>
      <c r="M9">
        <v>-2.25</v>
      </c>
      <c r="N9">
        <f t="shared" si="1"/>
        <v>-1.5649999999999999</v>
      </c>
    </row>
    <row r="10" spans="1:14" x14ac:dyDescent="0.2">
      <c r="A10">
        <v>9</v>
      </c>
      <c r="B10" s="3">
        <v>129244.5</v>
      </c>
      <c r="C10" s="3">
        <v>471974.5</v>
      </c>
      <c r="D10">
        <v>9</v>
      </c>
      <c r="E10" s="1" t="s">
        <v>17</v>
      </c>
      <c r="F10" t="s">
        <v>14</v>
      </c>
      <c r="G10">
        <v>48.5</v>
      </c>
      <c r="H10">
        <v>-3</v>
      </c>
      <c r="I10">
        <v>-7.25</v>
      </c>
      <c r="J10">
        <f t="shared" si="2"/>
        <v>4.25</v>
      </c>
      <c r="K10">
        <v>1</v>
      </c>
      <c r="L10">
        <v>-0.4</v>
      </c>
      <c r="M10">
        <v>-0.4</v>
      </c>
      <c r="N10">
        <f t="shared" si="1"/>
        <v>-1.4810000000000001</v>
      </c>
    </row>
    <row r="11" spans="1:14" x14ac:dyDescent="0.2">
      <c r="A11">
        <v>10</v>
      </c>
      <c r="B11" s="3">
        <v>128657.5</v>
      </c>
      <c r="C11" s="3">
        <v>469338.5</v>
      </c>
      <c r="D11">
        <v>11</v>
      </c>
      <c r="E11" s="1" t="s">
        <v>17</v>
      </c>
      <c r="F11" t="s">
        <v>5</v>
      </c>
      <c r="G11">
        <v>48.5</v>
      </c>
      <c r="H11">
        <v>-2.75</v>
      </c>
      <c r="I11">
        <v>-7.25</v>
      </c>
      <c r="J11">
        <f t="shared" si="2"/>
        <v>4.5</v>
      </c>
      <c r="K11">
        <v>0</v>
      </c>
      <c r="L11">
        <v>-0.4</v>
      </c>
      <c r="M11">
        <v>-0.4</v>
      </c>
      <c r="N11">
        <f t="shared" si="1"/>
        <v>-1.5589999999999999</v>
      </c>
    </row>
    <row r="14" spans="1:14" x14ac:dyDescent="0.2">
      <c r="B14" s="3"/>
      <c r="C14" s="3"/>
    </row>
    <row r="15" spans="1:14" x14ac:dyDescent="0.2">
      <c r="B15" s="3"/>
      <c r="C15" s="3"/>
    </row>
    <row r="16" spans="1:14" x14ac:dyDescent="0.2">
      <c r="B16" s="3"/>
      <c r="C16" s="3"/>
    </row>
    <row r="17" spans="2:3" x14ac:dyDescent="0.2">
      <c r="B17" s="3"/>
      <c r="C17" s="3"/>
    </row>
    <row r="18" spans="2:3" x14ac:dyDescent="0.2">
      <c r="B18" s="3"/>
      <c r="C18" s="3"/>
    </row>
    <row r="19" spans="2:3" x14ac:dyDescent="0.2">
      <c r="B19" s="3"/>
      <c r="C19" s="3"/>
    </row>
    <row r="20" spans="2:3" x14ac:dyDescent="0.2">
      <c r="B20" s="3"/>
      <c r="C20" s="3"/>
    </row>
    <row r="21" spans="2:3" x14ac:dyDescent="0.2">
      <c r="B21" s="3"/>
      <c r="C21" s="3"/>
    </row>
    <row r="22" spans="2:3" x14ac:dyDescent="0.2">
      <c r="B22" s="3"/>
      <c r="C22" s="3"/>
    </row>
    <row r="23" spans="2:3" x14ac:dyDescent="0.2">
      <c r="B23" s="3"/>
      <c r="C23" s="3"/>
    </row>
    <row r="24" spans="2:3" x14ac:dyDescent="0.2">
      <c r="B24" s="3"/>
      <c r="C24" s="3"/>
    </row>
    <row r="25" spans="2:3" x14ac:dyDescent="0.2">
      <c r="B25" s="3"/>
      <c r="C25" s="3"/>
    </row>
  </sheetData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B153B-BE8A-8445-8BB9-AE4D4CAEE74C}">
  <dimension ref="A1:O88"/>
  <sheetViews>
    <sheetView topLeftCell="A31" workbookViewId="0">
      <selection activeCell="O16" sqref="O16"/>
    </sheetView>
  </sheetViews>
  <sheetFormatPr baseColWidth="10" defaultRowHeight="16" x14ac:dyDescent="0.2"/>
  <sheetData>
    <row r="1" spans="1:15" x14ac:dyDescent="0.2">
      <c r="A1" t="s">
        <v>2</v>
      </c>
      <c r="B1" t="s">
        <v>0</v>
      </c>
      <c r="C1" t="s">
        <v>1</v>
      </c>
      <c r="D1" t="s">
        <v>9</v>
      </c>
      <c r="E1" t="s">
        <v>13</v>
      </c>
      <c r="F1" t="s">
        <v>3</v>
      </c>
      <c r="G1" t="s">
        <v>4</v>
      </c>
      <c r="H1" t="s">
        <v>8</v>
      </c>
      <c r="I1" t="s">
        <v>6</v>
      </c>
      <c r="J1" t="s">
        <v>7</v>
      </c>
      <c r="K1" t="s">
        <v>86</v>
      </c>
      <c r="L1" t="s">
        <v>85</v>
      </c>
      <c r="M1" t="s">
        <v>84</v>
      </c>
      <c r="N1" t="s">
        <v>89</v>
      </c>
      <c r="O1" t="s">
        <v>90</v>
      </c>
    </row>
    <row r="2" spans="1:15" x14ac:dyDescent="0.2">
      <c r="A2">
        <v>101</v>
      </c>
      <c r="B2">
        <v>129997.6</v>
      </c>
      <c r="C2">
        <v>478846.7</v>
      </c>
      <c r="D2">
        <v>1</v>
      </c>
      <c r="E2">
        <v>59.5</v>
      </c>
      <c r="F2">
        <v>130057</v>
      </c>
      <c r="G2">
        <v>478847</v>
      </c>
      <c r="H2" t="s">
        <v>5</v>
      </c>
      <c r="I2">
        <v>-2.2999999999999998</v>
      </c>
      <c r="J2">
        <v>-2</v>
      </c>
      <c r="K2">
        <v>0</v>
      </c>
      <c r="L2">
        <v>-1.6919999999999999</v>
      </c>
      <c r="M2">
        <v>-1.78</v>
      </c>
      <c r="N2">
        <v>-1.6919999999999999</v>
      </c>
      <c r="O2">
        <v>-1.78</v>
      </c>
    </row>
    <row r="3" spans="1:15" x14ac:dyDescent="0.2">
      <c r="A3">
        <v>102</v>
      </c>
      <c r="B3">
        <v>130146.2</v>
      </c>
      <c r="C3">
        <v>478887.6</v>
      </c>
      <c r="D3">
        <v>1</v>
      </c>
      <c r="E3">
        <v>89</v>
      </c>
      <c r="F3">
        <v>130057</v>
      </c>
      <c r="G3">
        <v>478888</v>
      </c>
      <c r="H3" t="s">
        <v>14</v>
      </c>
      <c r="I3">
        <v>-2.2999999999999998</v>
      </c>
      <c r="J3">
        <v>-2</v>
      </c>
      <c r="K3">
        <v>0</v>
      </c>
      <c r="L3">
        <v>-1.7390000000000001</v>
      </c>
      <c r="M3">
        <v>-1.841</v>
      </c>
      <c r="N3">
        <v>-1.7390000000000001</v>
      </c>
      <c r="O3">
        <v>-1.841</v>
      </c>
    </row>
    <row r="4" spans="1:15" x14ac:dyDescent="0.2">
      <c r="A4">
        <v>201</v>
      </c>
      <c r="B4">
        <v>130008.3</v>
      </c>
      <c r="C4">
        <v>477290</v>
      </c>
      <c r="D4">
        <v>2</v>
      </c>
      <c r="E4">
        <v>47.6</v>
      </c>
      <c r="F4">
        <v>130060</v>
      </c>
      <c r="G4">
        <v>477289</v>
      </c>
      <c r="H4" t="s">
        <v>5</v>
      </c>
      <c r="I4">
        <v>-2.2999999999999998</v>
      </c>
      <c r="J4">
        <v>-2</v>
      </c>
      <c r="K4">
        <v>0</v>
      </c>
      <c r="L4">
        <v>-1.4810000000000001</v>
      </c>
      <c r="M4">
        <v>-1.6839999999999999</v>
      </c>
      <c r="N4">
        <v>-1.4810000000000001</v>
      </c>
      <c r="O4">
        <v>-1.6839999999999999</v>
      </c>
    </row>
    <row r="5" spans="1:15" x14ac:dyDescent="0.2">
      <c r="A5">
        <v>202</v>
      </c>
      <c r="B5">
        <v>130135.2</v>
      </c>
      <c r="C5">
        <v>477627.6</v>
      </c>
      <c r="D5">
        <v>2</v>
      </c>
      <c r="E5">
        <v>74.2</v>
      </c>
      <c r="F5">
        <v>130061</v>
      </c>
      <c r="G5">
        <v>477628</v>
      </c>
      <c r="H5" t="s">
        <v>14</v>
      </c>
      <c r="I5">
        <v>-2.2999999999999998</v>
      </c>
      <c r="J5">
        <v>-2</v>
      </c>
      <c r="K5">
        <v>0</v>
      </c>
      <c r="L5">
        <v>-1.49</v>
      </c>
      <c r="M5">
        <v>-1.7</v>
      </c>
      <c r="N5">
        <v>-1.49</v>
      </c>
      <c r="O5">
        <v>-1.7</v>
      </c>
    </row>
    <row r="6" spans="1:15" x14ac:dyDescent="0.2">
      <c r="A6">
        <v>301</v>
      </c>
      <c r="B6">
        <v>129626.9</v>
      </c>
      <c r="C6">
        <v>475914.5</v>
      </c>
      <c r="D6">
        <v>3</v>
      </c>
      <c r="E6">
        <v>217.7</v>
      </c>
      <c r="F6">
        <v>129842</v>
      </c>
      <c r="G6">
        <v>475878</v>
      </c>
      <c r="H6" t="s">
        <v>5</v>
      </c>
      <c r="I6">
        <v>-2.2999999999999998</v>
      </c>
      <c r="J6">
        <v>-2.2999999999999998</v>
      </c>
      <c r="K6">
        <v>0</v>
      </c>
      <c r="L6">
        <v>0</v>
      </c>
      <c r="M6">
        <v>-1.6539999999999999</v>
      </c>
      <c r="N6">
        <v>0</v>
      </c>
      <c r="O6">
        <v>-1.6539999999999999</v>
      </c>
    </row>
    <row r="7" spans="1:15" x14ac:dyDescent="0.2">
      <c r="A7">
        <v>302</v>
      </c>
      <c r="B7">
        <v>129786.6</v>
      </c>
      <c r="C7">
        <v>475902</v>
      </c>
      <c r="D7">
        <v>3</v>
      </c>
      <c r="E7">
        <v>58.2</v>
      </c>
      <c r="F7">
        <v>129844</v>
      </c>
      <c r="G7">
        <v>475892</v>
      </c>
      <c r="H7" t="s">
        <v>5</v>
      </c>
      <c r="I7">
        <v>-2.2999999999999998</v>
      </c>
      <c r="J7">
        <v>-2.2999999999999998</v>
      </c>
      <c r="K7">
        <v>0</v>
      </c>
      <c r="L7">
        <v>-1.2350000000000001</v>
      </c>
      <c r="M7">
        <v>-1.556</v>
      </c>
      <c r="N7">
        <v>-1.2350000000000001</v>
      </c>
      <c r="O7">
        <v>-1.556</v>
      </c>
    </row>
    <row r="8" spans="1:15" x14ac:dyDescent="0.2">
      <c r="A8">
        <v>303</v>
      </c>
      <c r="B8">
        <v>129937</v>
      </c>
      <c r="C8">
        <v>475919.8</v>
      </c>
      <c r="D8">
        <v>3</v>
      </c>
      <c r="E8">
        <v>87.2</v>
      </c>
      <c r="F8">
        <v>129851</v>
      </c>
      <c r="G8">
        <v>475934</v>
      </c>
      <c r="H8" t="s">
        <v>14</v>
      </c>
      <c r="I8">
        <v>-2.1</v>
      </c>
      <c r="J8">
        <v>-2.1</v>
      </c>
      <c r="K8">
        <v>0</v>
      </c>
      <c r="L8">
        <v>-1.1160000000000001</v>
      </c>
      <c r="M8">
        <v>0</v>
      </c>
      <c r="N8">
        <v>-1.1160000000000001</v>
      </c>
      <c r="O8">
        <v>0</v>
      </c>
    </row>
    <row r="9" spans="1:15" x14ac:dyDescent="0.2">
      <c r="A9">
        <v>304</v>
      </c>
      <c r="B9">
        <v>130028.8</v>
      </c>
      <c r="C9">
        <v>475937.6</v>
      </c>
      <c r="D9">
        <v>3</v>
      </c>
      <c r="E9">
        <v>174.7</v>
      </c>
      <c r="F9">
        <v>129857</v>
      </c>
      <c r="G9">
        <v>475967</v>
      </c>
      <c r="H9" t="s">
        <v>14</v>
      </c>
      <c r="I9">
        <v>-2.1</v>
      </c>
      <c r="J9">
        <v>-2.1</v>
      </c>
      <c r="K9">
        <v>0</v>
      </c>
      <c r="L9">
        <v>-1.262</v>
      </c>
      <c r="M9">
        <v>0</v>
      </c>
      <c r="N9">
        <v>-1.262</v>
      </c>
      <c r="O9">
        <v>0</v>
      </c>
    </row>
    <row r="10" spans="1:15" x14ac:dyDescent="0.2">
      <c r="A10">
        <v>9002</v>
      </c>
      <c r="B10">
        <v>128340.6</v>
      </c>
      <c r="C10">
        <v>475320.9</v>
      </c>
      <c r="D10">
        <v>4</v>
      </c>
      <c r="E10">
        <v>1387.2</v>
      </c>
      <c r="F10">
        <v>129708</v>
      </c>
      <c r="G10">
        <v>475090</v>
      </c>
      <c r="H10" t="s">
        <v>5</v>
      </c>
      <c r="I10">
        <v>-2.6</v>
      </c>
      <c r="J10">
        <v>-2.6</v>
      </c>
      <c r="K10">
        <v>0</v>
      </c>
      <c r="L10">
        <v>0</v>
      </c>
      <c r="M10">
        <v>0</v>
      </c>
      <c r="N10">
        <v>0</v>
      </c>
      <c r="O10">
        <v>0</v>
      </c>
    </row>
    <row r="11" spans="1:15" x14ac:dyDescent="0.2">
      <c r="A11">
        <v>401</v>
      </c>
      <c r="B11">
        <v>129148</v>
      </c>
      <c r="C11">
        <v>475304.9</v>
      </c>
      <c r="D11">
        <v>4</v>
      </c>
      <c r="E11">
        <v>588.4</v>
      </c>
      <c r="F11">
        <v>129728</v>
      </c>
      <c r="G11">
        <v>475207</v>
      </c>
      <c r="H11" t="s">
        <v>5</v>
      </c>
      <c r="I11">
        <v>-2.2999999999999998</v>
      </c>
      <c r="J11">
        <v>-2.2999999999999998</v>
      </c>
      <c r="K11">
        <v>0</v>
      </c>
      <c r="L11">
        <v>0</v>
      </c>
      <c r="M11">
        <v>0</v>
      </c>
      <c r="N11">
        <v>0</v>
      </c>
      <c r="O11">
        <v>0</v>
      </c>
    </row>
    <row r="12" spans="1:15" x14ac:dyDescent="0.2">
      <c r="A12">
        <v>402</v>
      </c>
      <c r="B12">
        <v>129340.7</v>
      </c>
      <c r="C12">
        <v>475301.3</v>
      </c>
      <c r="D12">
        <v>4</v>
      </c>
      <c r="E12">
        <v>397.8</v>
      </c>
      <c r="F12">
        <v>129733</v>
      </c>
      <c r="G12">
        <v>475235</v>
      </c>
      <c r="H12" t="s">
        <v>5</v>
      </c>
      <c r="I12">
        <v>-2.2999999999999998</v>
      </c>
      <c r="J12">
        <v>-2.2999999999999998</v>
      </c>
      <c r="K12">
        <v>0</v>
      </c>
      <c r="L12">
        <v>0</v>
      </c>
      <c r="M12">
        <v>0</v>
      </c>
      <c r="N12">
        <v>0</v>
      </c>
      <c r="O12">
        <v>0</v>
      </c>
    </row>
    <row r="13" spans="1:15" x14ac:dyDescent="0.2">
      <c r="A13">
        <v>403</v>
      </c>
      <c r="B13">
        <v>129450.8</v>
      </c>
      <c r="C13">
        <v>475306.7</v>
      </c>
      <c r="D13">
        <v>4</v>
      </c>
      <c r="E13">
        <v>290.10000000000002</v>
      </c>
      <c r="F13">
        <v>129737</v>
      </c>
      <c r="G13">
        <v>475258</v>
      </c>
      <c r="H13" t="s">
        <v>5</v>
      </c>
      <c r="I13">
        <v>-2.2999999999999998</v>
      </c>
      <c r="J13">
        <v>-2.2999999999999998</v>
      </c>
      <c r="K13">
        <v>0</v>
      </c>
      <c r="L13">
        <v>0</v>
      </c>
      <c r="M13">
        <v>0</v>
      </c>
      <c r="N13">
        <v>0</v>
      </c>
      <c r="O13">
        <v>0</v>
      </c>
    </row>
    <row r="14" spans="1:15" x14ac:dyDescent="0.2">
      <c r="A14">
        <v>404</v>
      </c>
      <c r="B14">
        <v>129575.6</v>
      </c>
      <c r="C14">
        <v>475313.8</v>
      </c>
      <c r="D14">
        <v>4</v>
      </c>
      <c r="E14">
        <v>168.3</v>
      </c>
      <c r="F14">
        <v>129742</v>
      </c>
      <c r="G14">
        <v>475286</v>
      </c>
      <c r="H14" t="s">
        <v>5</v>
      </c>
      <c r="I14">
        <v>-2.2999999999999998</v>
      </c>
      <c r="J14">
        <v>-2.2999999999999998</v>
      </c>
      <c r="K14">
        <v>0</v>
      </c>
      <c r="L14">
        <v>0</v>
      </c>
      <c r="M14">
        <v>0</v>
      </c>
      <c r="N14">
        <v>0</v>
      </c>
      <c r="O14">
        <v>0</v>
      </c>
    </row>
    <row r="15" spans="1:15" x14ac:dyDescent="0.2">
      <c r="A15">
        <v>405</v>
      </c>
      <c r="B15">
        <v>129674.6</v>
      </c>
      <c r="C15">
        <v>475340.4</v>
      </c>
      <c r="D15">
        <v>4</v>
      </c>
      <c r="E15">
        <v>75.099999999999994</v>
      </c>
      <c r="F15">
        <v>129749</v>
      </c>
      <c r="G15">
        <v>475328</v>
      </c>
      <c r="H15" t="s">
        <v>5</v>
      </c>
      <c r="I15">
        <v>-2.2999999999999998</v>
      </c>
      <c r="J15">
        <v>-2.2999999999999998</v>
      </c>
      <c r="K15">
        <v>0</v>
      </c>
      <c r="L15">
        <v>0</v>
      </c>
      <c r="M15">
        <v>0</v>
      </c>
      <c r="N15">
        <v>0</v>
      </c>
      <c r="O15">
        <v>0</v>
      </c>
    </row>
    <row r="16" spans="1:15" x14ac:dyDescent="0.2">
      <c r="A16">
        <v>406</v>
      </c>
      <c r="B16">
        <v>129699</v>
      </c>
      <c r="C16">
        <v>475345.8</v>
      </c>
      <c r="D16">
        <v>4</v>
      </c>
      <c r="E16">
        <v>52</v>
      </c>
      <c r="F16">
        <v>129750</v>
      </c>
      <c r="G16">
        <v>475338</v>
      </c>
      <c r="H16" t="s">
        <v>5</v>
      </c>
      <c r="I16">
        <v>-2.2999999999999998</v>
      </c>
      <c r="J16">
        <v>-2.2999999999999998</v>
      </c>
      <c r="K16">
        <v>0</v>
      </c>
      <c r="L16">
        <v>-0.998</v>
      </c>
      <c r="M16">
        <v>-1.49</v>
      </c>
      <c r="N16">
        <v>-0.998</v>
      </c>
      <c r="O16">
        <v>-1.49</v>
      </c>
    </row>
    <row r="17" spans="1:15" x14ac:dyDescent="0.2">
      <c r="A17">
        <v>407</v>
      </c>
      <c r="B17">
        <v>129828.8</v>
      </c>
      <c r="C17">
        <v>475386.6</v>
      </c>
      <c r="D17">
        <v>4</v>
      </c>
      <c r="E17">
        <v>69.3</v>
      </c>
      <c r="F17">
        <v>129760</v>
      </c>
      <c r="G17">
        <v>475398</v>
      </c>
      <c r="H17" t="s">
        <v>14</v>
      </c>
      <c r="I17">
        <v>-2.1</v>
      </c>
      <c r="J17">
        <v>-2.1</v>
      </c>
      <c r="K17">
        <v>-1.571</v>
      </c>
      <c r="L17">
        <v>-1.1040000000000001</v>
      </c>
      <c r="M17">
        <v>-1.542</v>
      </c>
      <c r="N17">
        <v>-1.1040000000000001</v>
      </c>
      <c r="O17">
        <v>-1.542</v>
      </c>
    </row>
    <row r="18" spans="1:15" x14ac:dyDescent="0.2">
      <c r="A18">
        <v>408</v>
      </c>
      <c r="B18">
        <v>129865.5</v>
      </c>
      <c r="C18">
        <v>475399.1</v>
      </c>
      <c r="D18">
        <v>4</v>
      </c>
      <c r="E18">
        <v>103.4</v>
      </c>
      <c r="F18">
        <v>129764</v>
      </c>
      <c r="G18">
        <v>475416</v>
      </c>
      <c r="H18" t="s">
        <v>14</v>
      </c>
      <c r="I18">
        <v>-2.1</v>
      </c>
      <c r="J18">
        <v>-2.1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">
      <c r="A19">
        <v>409</v>
      </c>
      <c r="B19">
        <v>129953.60000000001</v>
      </c>
      <c r="C19">
        <v>475425.7</v>
      </c>
      <c r="D19">
        <v>4</v>
      </c>
      <c r="E19">
        <v>185.8</v>
      </c>
      <c r="F19">
        <v>129770</v>
      </c>
      <c r="G19">
        <v>475457</v>
      </c>
      <c r="H19" t="s">
        <v>14</v>
      </c>
      <c r="I19">
        <v>-2.1</v>
      </c>
      <c r="J19">
        <v>-2.1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15" x14ac:dyDescent="0.2">
      <c r="A20">
        <v>410</v>
      </c>
      <c r="B20">
        <v>130003.1</v>
      </c>
      <c r="C20">
        <v>475425.7</v>
      </c>
      <c r="D20">
        <v>4</v>
      </c>
      <c r="E20">
        <v>234.6</v>
      </c>
      <c r="F20">
        <v>129772</v>
      </c>
      <c r="G20">
        <v>475465</v>
      </c>
      <c r="H20" t="s">
        <v>14</v>
      </c>
      <c r="I20">
        <v>-2.1</v>
      </c>
      <c r="J20">
        <v>-2.1</v>
      </c>
      <c r="K20">
        <v>-1.6220000000000001</v>
      </c>
      <c r="L20">
        <v>-1.399</v>
      </c>
      <c r="M20">
        <v>-1.6220000000000001</v>
      </c>
      <c r="N20">
        <v>-1.399</v>
      </c>
      <c r="O20">
        <v>-1.6220000000000001</v>
      </c>
    </row>
    <row r="21" spans="1:15" x14ac:dyDescent="0.2">
      <c r="A21">
        <v>411</v>
      </c>
      <c r="B21">
        <v>130003.1</v>
      </c>
      <c r="C21">
        <v>475425.7</v>
      </c>
      <c r="D21">
        <v>4</v>
      </c>
      <c r="E21">
        <v>234.6</v>
      </c>
      <c r="F21">
        <v>129772</v>
      </c>
      <c r="G21">
        <v>475465</v>
      </c>
      <c r="H21" t="s">
        <v>14</v>
      </c>
      <c r="I21">
        <v>-2.1</v>
      </c>
      <c r="J21">
        <v>-2.1</v>
      </c>
      <c r="K21">
        <v>-1.66</v>
      </c>
      <c r="L21">
        <v>-1.4470000000000001</v>
      </c>
      <c r="M21">
        <v>-1.66</v>
      </c>
      <c r="N21">
        <v>-1.4470000000000001</v>
      </c>
      <c r="O21">
        <v>-1.66</v>
      </c>
    </row>
    <row r="22" spans="1:15" x14ac:dyDescent="0.2">
      <c r="A22">
        <v>412</v>
      </c>
      <c r="B22">
        <v>130131.6</v>
      </c>
      <c r="C22">
        <v>475471.9</v>
      </c>
      <c r="D22">
        <v>4</v>
      </c>
      <c r="E22">
        <v>353.7</v>
      </c>
      <c r="F22">
        <v>129783</v>
      </c>
      <c r="G22">
        <v>475531</v>
      </c>
      <c r="H22" t="s">
        <v>14</v>
      </c>
      <c r="I22">
        <v>-2.1</v>
      </c>
      <c r="J22">
        <v>-2.1</v>
      </c>
      <c r="K22">
        <v>-1.669</v>
      </c>
      <c r="L22">
        <v>-1.472</v>
      </c>
      <c r="M22">
        <v>-1.669</v>
      </c>
      <c r="N22">
        <v>-1.472</v>
      </c>
      <c r="O22">
        <v>-1.669</v>
      </c>
    </row>
    <row r="23" spans="1:15" x14ac:dyDescent="0.2">
      <c r="A23">
        <v>501</v>
      </c>
      <c r="B23">
        <v>129138.8</v>
      </c>
      <c r="C23">
        <v>474983.2</v>
      </c>
      <c r="D23">
        <v>5</v>
      </c>
      <c r="E23">
        <v>543.9</v>
      </c>
      <c r="F23">
        <v>129675</v>
      </c>
      <c r="G23">
        <v>474893</v>
      </c>
      <c r="H23" t="s">
        <v>5</v>
      </c>
      <c r="I23">
        <v>-2.2999999999999998</v>
      </c>
      <c r="J23">
        <v>-2.2999999999999998</v>
      </c>
      <c r="K23">
        <v>0</v>
      </c>
      <c r="L23">
        <v>0</v>
      </c>
      <c r="M23">
        <v>0</v>
      </c>
      <c r="N23">
        <v>0</v>
      </c>
      <c r="O23">
        <v>0</v>
      </c>
    </row>
    <row r="24" spans="1:15" x14ac:dyDescent="0.2">
      <c r="A24">
        <v>502</v>
      </c>
      <c r="B24">
        <v>129401.2</v>
      </c>
      <c r="C24">
        <v>475002.8</v>
      </c>
      <c r="D24">
        <v>5</v>
      </c>
      <c r="E24">
        <v>288.39999999999998</v>
      </c>
      <c r="F24">
        <v>129686</v>
      </c>
      <c r="G24">
        <v>474955</v>
      </c>
      <c r="H24" t="s">
        <v>5</v>
      </c>
      <c r="I24">
        <v>-2.2999999999999998</v>
      </c>
      <c r="J24">
        <v>-2.2999999999999998</v>
      </c>
      <c r="K24">
        <v>0</v>
      </c>
      <c r="L24">
        <v>0</v>
      </c>
      <c r="M24">
        <v>0</v>
      </c>
      <c r="N24">
        <v>0</v>
      </c>
      <c r="O24">
        <v>0</v>
      </c>
    </row>
    <row r="25" spans="1:15" x14ac:dyDescent="0.2">
      <c r="A25">
        <v>503</v>
      </c>
      <c r="B25">
        <v>129417.7</v>
      </c>
      <c r="C25">
        <v>475008.1</v>
      </c>
      <c r="D25">
        <v>5</v>
      </c>
      <c r="E25">
        <v>273</v>
      </c>
      <c r="F25">
        <v>129687</v>
      </c>
      <c r="G25">
        <v>474963</v>
      </c>
      <c r="H25" t="s">
        <v>5</v>
      </c>
      <c r="I25">
        <v>-2.2999999999999998</v>
      </c>
      <c r="J25">
        <v>-2.2999999999999998</v>
      </c>
      <c r="K25">
        <v>-1.738</v>
      </c>
      <c r="L25">
        <v>-1.542</v>
      </c>
      <c r="M25">
        <v>-1.734</v>
      </c>
      <c r="N25">
        <v>-1.542</v>
      </c>
      <c r="O25">
        <v>-1.734</v>
      </c>
    </row>
    <row r="26" spans="1:15" x14ac:dyDescent="0.2">
      <c r="A26">
        <v>504</v>
      </c>
      <c r="B26">
        <v>129513.2</v>
      </c>
      <c r="C26">
        <v>475001</v>
      </c>
      <c r="D26">
        <v>5</v>
      </c>
      <c r="E26">
        <v>177.7</v>
      </c>
      <c r="F26">
        <v>129688</v>
      </c>
      <c r="G26">
        <v>474971</v>
      </c>
      <c r="H26" t="s">
        <v>5</v>
      </c>
      <c r="I26">
        <v>-2.2999999999999998</v>
      </c>
      <c r="J26">
        <v>-2.2999999999999998</v>
      </c>
      <c r="K26">
        <v>0</v>
      </c>
      <c r="L26">
        <v>0</v>
      </c>
      <c r="M26">
        <v>-1.5529999999999999</v>
      </c>
      <c r="N26">
        <v>0</v>
      </c>
      <c r="O26">
        <v>-1.5529999999999999</v>
      </c>
    </row>
    <row r="27" spans="1:15" x14ac:dyDescent="0.2">
      <c r="A27">
        <v>505</v>
      </c>
      <c r="B27">
        <v>129527.8</v>
      </c>
      <c r="C27">
        <v>475008.1</v>
      </c>
      <c r="D27">
        <v>5</v>
      </c>
      <c r="E27">
        <v>164.5</v>
      </c>
      <c r="F27">
        <v>129690</v>
      </c>
      <c r="G27">
        <v>474981</v>
      </c>
      <c r="H27" t="s">
        <v>5</v>
      </c>
      <c r="I27">
        <v>-2.2999999999999998</v>
      </c>
      <c r="J27">
        <v>-2.2999999999999998</v>
      </c>
      <c r="K27">
        <v>-1.6359999999999999</v>
      </c>
      <c r="L27">
        <v>-1.2849999999999999</v>
      </c>
      <c r="M27">
        <v>-1.6220000000000001</v>
      </c>
      <c r="N27">
        <v>-1.2849999999999999</v>
      </c>
      <c r="O27">
        <v>-1.6220000000000001</v>
      </c>
    </row>
    <row r="28" spans="1:15" x14ac:dyDescent="0.2">
      <c r="A28">
        <v>506</v>
      </c>
      <c r="B28">
        <v>129615.9</v>
      </c>
      <c r="C28">
        <v>475008.1</v>
      </c>
      <c r="D28">
        <v>5</v>
      </c>
      <c r="E28">
        <v>77.599999999999994</v>
      </c>
      <c r="F28">
        <v>129692</v>
      </c>
      <c r="G28">
        <v>474995</v>
      </c>
      <c r="H28" t="s">
        <v>5</v>
      </c>
      <c r="I28">
        <v>-2.2999999999999998</v>
      </c>
      <c r="J28">
        <v>-2.2999999999999998</v>
      </c>
      <c r="K28">
        <v>-1.5740000000000001</v>
      </c>
      <c r="L28">
        <v>-1.0680000000000001</v>
      </c>
      <c r="M28">
        <v>0</v>
      </c>
      <c r="N28">
        <v>-1.0680000000000001</v>
      </c>
      <c r="O28">
        <v>0</v>
      </c>
    </row>
    <row r="29" spans="1:15" x14ac:dyDescent="0.2">
      <c r="A29">
        <v>507</v>
      </c>
      <c r="B29">
        <v>129768.2</v>
      </c>
      <c r="C29">
        <v>475001</v>
      </c>
      <c r="D29">
        <v>5</v>
      </c>
      <c r="E29">
        <v>73.8</v>
      </c>
      <c r="F29">
        <v>129695</v>
      </c>
      <c r="G29">
        <v>475013</v>
      </c>
      <c r="H29" t="s">
        <v>14</v>
      </c>
      <c r="I29">
        <v>-2.2000000000000002</v>
      </c>
      <c r="J29">
        <v>-2.2000000000000002</v>
      </c>
      <c r="K29">
        <v>0</v>
      </c>
      <c r="L29">
        <v>0</v>
      </c>
      <c r="M29">
        <v>0</v>
      </c>
      <c r="N29">
        <v>0</v>
      </c>
      <c r="O29">
        <v>0</v>
      </c>
    </row>
    <row r="30" spans="1:15" x14ac:dyDescent="0.2">
      <c r="A30">
        <v>508</v>
      </c>
      <c r="B30">
        <v>129768.2</v>
      </c>
      <c r="C30">
        <v>475001</v>
      </c>
      <c r="D30">
        <v>5</v>
      </c>
      <c r="E30">
        <v>73.8</v>
      </c>
      <c r="F30">
        <v>129695</v>
      </c>
      <c r="G30">
        <v>475013</v>
      </c>
      <c r="H30" t="s">
        <v>14</v>
      </c>
      <c r="I30">
        <v>-2.2000000000000002</v>
      </c>
      <c r="J30">
        <v>-2.2000000000000002</v>
      </c>
      <c r="K30">
        <v>-1.819</v>
      </c>
      <c r="L30">
        <v>-1.538</v>
      </c>
      <c r="M30">
        <v>-1.821</v>
      </c>
      <c r="N30">
        <v>-1.538</v>
      </c>
      <c r="O30">
        <v>-1.821</v>
      </c>
    </row>
    <row r="31" spans="1:15" x14ac:dyDescent="0.2">
      <c r="A31">
        <v>509</v>
      </c>
      <c r="B31">
        <v>129982.9</v>
      </c>
      <c r="C31">
        <v>475054.3</v>
      </c>
      <c r="D31">
        <v>5</v>
      </c>
      <c r="E31">
        <v>276.60000000000002</v>
      </c>
      <c r="F31">
        <v>129710</v>
      </c>
      <c r="G31">
        <v>475100</v>
      </c>
      <c r="H31" t="s">
        <v>14</v>
      </c>
      <c r="I31">
        <v>-2.2000000000000002</v>
      </c>
      <c r="J31">
        <v>-2.2000000000000002</v>
      </c>
      <c r="K31">
        <v>0</v>
      </c>
      <c r="L31">
        <v>0</v>
      </c>
      <c r="M31">
        <v>-1.8080000000000001</v>
      </c>
      <c r="N31">
        <v>0</v>
      </c>
      <c r="O31">
        <v>-1.8080000000000001</v>
      </c>
    </row>
    <row r="32" spans="1:15" x14ac:dyDescent="0.2">
      <c r="A32">
        <v>510</v>
      </c>
      <c r="B32">
        <v>130107.7</v>
      </c>
      <c r="C32">
        <v>475093.4</v>
      </c>
      <c r="D32">
        <v>5</v>
      </c>
      <c r="E32">
        <v>393.1</v>
      </c>
      <c r="F32">
        <v>129720</v>
      </c>
      <c r="G32">
        <v>475159</v>
      </c>
      <c r="H32" t="s">
        <v>14</v>
      </c>
      <c r="I32">
        <v>-2.2000000000000002</v>
      </c>
      <c r="J32">
        <v>-2.2000000000000002</v>
      </c>
      <c r="K32">
        <v>-1.708</v>
      </c>
      <c r="L32">
        <v>-1.5189999999999999</v>
      </c>
      <c r="M32">
        <v>-1.7</v>
      </c>
      <c r="N32">
        <v>-1.5189999999999999</v>
      </c>
      <c r="O32">
        <v>-1.7</v>
      </c>
    </row>
    <row r="33" spans="1:15" x14ac:dyDescent="0.2">
      <c r="A33">
        <v>511</v>
      </c>
      <c r="B33">
        <v>130107.7</v>
      </c>
      <c r="C33">
        <v>475093.4</v>
      </c>
      <c r="D33">
        <v>5</v>
      </c>
      <c r="E33">
        <v>393.1</v>
      </c>
      <c r="F33">
        <v>129720</v>
      </c>
      <c r="G33">
        <v>475159</v>
      </c>
      <c r="H33" t="s">
        <v>14</v>
      </c>
      <c r="I33">
        <v>-2.2000000000000002</v>
      </c>
      <c r="J33">
        <v>-2.2000000000000002</v>
      </c>
      <c r="K33">
        <v>-1.698</v>
      </c>
      <c r="L33">
        <v>-1.506</v>
      </c>
      <c r="M33">
        <v>-1.698</v>
      </c>
      <c r="N33">
        <v>-1.506</v>
      </c>
      <c r="O33">
        <v>-1.698</v>
      </c>
    </row>
    <row r="34" spans="1:15" x14ac:dyDescent="0.2">
      <c r="A34">
        <v>512</v>
      </c>
      <c r="B34">
        <v>130239.8</v>
      </c>
      <c r="C34">
        <v>475137.8</v>
      </c>
      <c r="D34">
        <v>5</v>
      </c>
      <c r="E34">
        <v>516</v>
      </c>
      <c r="F34">
        <v>129731</v>
      </c>
      <c r="G34">
        <v>475224</v>
      </c>
      <c r="H34" t="s">
        <v>14</v>
      </c>
      <c r="I34">
        <v>-2.2000000000000002</v>
      </c>
      <c r="J34">
        <v>-2.2000000000000002</v>
      </c>
      <c r="K34">
        <v>0</v>
      </c>
      <c r="L34">
        <v>0</v>
      </c>
      <c r="M34">
        <v>0</v>
      </c>
      <c r="N34">
        <v>0</v>
      </c>
      <c r="O34">
        <v>0</v>
      </c>
    </row>
    <row r="35" spans="1:15" x14ac:dyDescent="0.2">
      <c r="A35">
        <v>601</v>
      </c>
      <c r="B35">
        <v>129045.2</v>
      </c>
      <c r="C35">
        <v>474043.1</v>
      </c>
      <c r="D35">
        <v>6</v>
      </c>
      <c r="E35">
        <v>476.3</v>
      </c>
      <c r="F35">
        <v>129515</v>
      </c>
      <c r="G35">
        <v>473962</v>
      </c>
      <c r="H35" t="s">
        <v>5</v>
      </c>
      <c r="I35">
        <v>-2.6</v>
      </c>
      <c r="J35">
        <v>-2.6</v>
      </c>
      <c r="K35">
        <v>0</v>
      </c>
      <c r="L35">
        <v>-1.5580000000000001</v>
      </c>
      <c r="M35">
        <v>-1.698</v>
      </c>
      <c r="N35">
        <v>-1.5580000000000001</v>
      </c>
      <c r="O35">
        <v>-1.698</v>
      </c>
    </row>
    <row r="36" spans="1:15" x14ac:dyDescent="0.2">
      <c r="A36">
        <v>602</v>
      </c>
      <c r="B36">
        <v>129311.3</v>
      </c>
      <c r="C36">
        <v>474110.7</v>
      </c>
      <c r="D36">
        <v>6</v>
      </c>
      <c r="E36">
        <v>225.7</v>
      </c>
      <c r="F36">
        <v>129534</v>
      </c>
      <c r="G36">
        <v>474072</v>
      </c>
      <c r="H36" t="s">
        <v>5</v>
      </c>
      <c r="I36">
        <v>-2.6</v>
      </c>
      <c r="J36">
        <v>-2.6</v>
      </c>
      <c r="K36">
        <v>0</v>
      </c>
      <c r="L36">
        <v>-1.415</v>
      </c>
      <c r="M36">
        <v>-1.6359999999999999</v>
      </c>
      <c r="N36">
        <v>-1.415</v>
      </c>
      <c r="O36">
        <v>-1.6359999999999999</v>
      </c>
    </row>
    <row r="37" spans="1:15" x14ac:dyDescent="0.2">
      <c r="A37">
        <v>603</v>
      </c>
      <c r="B37">
        <v>129485.6</v>
      </c>
      <c r="C37">
        <v>474227.9</v>
      </c>
      <c r="D37">
        <v>6</v>
      </c>
      <c r="E37">
        <v>73.900000000000006</v>
      </c>
      <c r="F37">
        <v>129558</v>
      </c>
      <c r="G37">
        <v>474215</v>
      </c>
      <c r="H37" t="s">
        <v>5</v>
      </c>
      <c r="I37">
        <v>-2.6</v>
      </c>
      <c r="J37">
        <v>-2.6</v>
      </c>
      <c r="K37">
        <v>0</v>
      </c>
      <c r="L37">
        <v>-1.196</v>
      </c>
      <c r="M37">
        <v>-1.4850000000000001</v>
      </c>
      <c r="N37">
        <v>-1.196</v>
      </c>
      <c r="O37">
        <v>-1.4850000000000001</v>
      </c>
    </row>
    <row r="38" spans="1:15" x14ac:dyDescent="0.2">
      <c r="A38">
        <v>604</v>
      </c>
      <c r="B38">
        <v>129626.9</v>
      </c>
      <c r="C38">
        <v>474167.5</v>
      </c>
      <c r="D38">
        <v>6</v>
      </c>
      <c r="E38">
        <v>75.599999999999994</v>
      </c>
      <c r="F38">
        <v>129552</v>
      </c>
      <c r="G38">
        <v>474180</v>
      </c>
      <c r="H38" t="s">
        <v>14</v>
      </c>
      <c r="I38">
        <v>-2.25</v>
      </c>
      <c r="J38">
        <v>-2.25</v>
      </c>
      <c r="K38">
        <v>0</v>
      </c>
      <c r="L38">
        <v>0</v>
      </c>
      <c r="M38">
        <v>0</v>
      </c>
      <c r="N38">
        <v>0</v>
      </c>
      <c r="O38">
        <v>0</v>
      </c>
    </row>
    <row r="39" spans="1:15" x14ac:dyDescent="0.2">
      <c r="A39">
        <v>605</v>
      </c>
      <c r="B39">
        <v>129792.1</v>
      </c>
      <c r="C39">
        <v>474183.5</v>
      </c>
      <c r="D39">
        <v>6</v>
      </c>
      <c r="E39">
        <v>235.7</v>
      </c>
      <c r="F39">
        <v>129560</v>
      </c>
      <c r="G39">
        <v>474224</v>
      </c>
      <c r="H39" t="s">
        <v>14</v>
      </c>
      <c r="I39">
        <v>-2.25</v>
      </c>
      <c r="J39">
        <v>-2.25</v>
      </c>
      <c r="K39">
        <v>0</v>
      </c>
      <c r="L39">
        <v>-1.3740000000000001</v>
      </c>
      <c r="M39">
        <v>-1.6</v>
      </c>
      <c r="N39">
        <v>-1.3740000000000001</v>
      </c>
      <c r="O39">
        <v>-1.6</v>
      </c>
    </row>
    <row r="40" spans="1:15" x14ac:dyDescent="0.2">
      <c r="A40">
        <v>606</v>
      </c>
      <c r="B40">
        <v>129964.6</v>
      </c>
      <c r="C40">
        <v>474128.4</v>
      </c>
      <c r="D40">
        <v>6</v>
      </c>
      <c r="E40">
        <v>415</v>
      </c>
      <c r="F40">
        <v>129556</v>
      </c>
      <c r="G40">
        <v>474199</v>
      </c>
      <c r="H40" t="s">
        <v>14</v>
      </c>
      <c r="I40">
        <v>-2.25</v>
      </c>
      <c r="J40">
        <v>-2.25</v>
      </c>
      <c r="K40">
        <v>0</v>
      </c>
      <c r="L40">
        <v>0</v>
      </c>
      <c r="M40">
        <v>-1.6060000000000001</v>
      </c>
      <c r="N40">
        <v>0</v>
      </c>
      <c r="O40">
        <v>-1.6060000000000001</v>
      </c>
    </row>
    <row r="41" spans="1:15" x14ac:dyDescent="0.2">
      <c r="A41">
        <v>701</v>
      </c>
      <c r="B41">
        <v>128940.7</v>
      </c>
      <c r="C41">
        <v>473332.3</v>
      </c>
      <c r="D41">
        <v>7</v>
      </c>
      <c r="E41">
        <v>458.1</v>
      </c>
      <c r="F41">
        <v>129392</v>
      </c>
      <c r="G41">
        <v>473254</v>
      </c>
      <c r="H41" t="s">
        <v>5</v>
      </c>
      <c r="I41">
        <v>-2.6</v>
      </c>
      <c r="J41">
        <v>-2.6</v>
      </c>
      <c r="K41">
        <v>0</v>
      </c>
      <c r="L41">
        <v>-1.6120000000000001</v>
      </c>
      <c r="M41">
        <v>-1.7130000000000001</v>
      </c>
      <c r="N41">
        <v>-1.6120000000000001</v>
      </c>
      <c r="O41">
        <v>-1.7130000000000001</v>
      </c>
    </row>
    <row r="42" spans="1:15" x14ac:dyDescent="0.2">
      <c r="A42">
        <v>702</v>
      </c>
      <c r="B42">
        <v>129338.8</v>
      </c>
      <c r="C42">
        <v>473371.4</v>
      </c>
      <c r="D42">
        <v>7</v>
      </c>
      <c r="E42">
        <v>72.5</v>
      </c>
      <c r="F42">
        <v>129410</v>
      </c>
      <c r="G42">
        <v>473359</v>
      </c>
      <c r="H42" t="s">
        <v>5</v>
      </c>
      <c r="I42">
        <v>-2.6</v>
      </c>
      <c r="J42">
        <v>-2.6</v>
      </c>
      <c r="K42">
        <v>0</v>
      </c>
      <c r="L42">
        <v>-1.036</v>
      </c>
      <c r="M42">
        <v>-1.4239999999999999</v>
      </c>
      <c r="N42">
        <v>-1.036</v>
      </c>
      <c r="O42">
        <v>-1.4239999999999999</v>
      </c>
    </row>
    <row r="43" spans="1:15" x14ac:dyDescent="0.2">
      <c r="A43">
        <v>703</v>
      </c>
      <c r="B43">
        <v>129483.8</v>
      </c>
      <c r="C43">
        <v>473360.7</v>
      </c>
      <c r="D43">
        <v>7</v>
      </c>
      <c r="E43">
        <v>72.2</v>
      </c>
      <c r="F43">
        <v>129413</v>
      </c>
      <c r="G43">
        <v>473373</v>
      </c>
      <c r="H43" t="s">
        <v>14</v>
      </c>
      <c r="I43">
        <v>-2.25</v>
      </c>
      <c r="J43">
        <v>-2.25</v>
      </c>
      <c r="K43">
        <v>0</v>
      </c>
      <c r="L43">
        <v>0</v>
      </c>
      <c r="M43">
        <v>-1.3939999999999999</v>
      </c>
      <c r="N43">
        <v>0</v>
      </c>
      <c r="O43">
        <v>-1.3939999999999999</v>
      </c>
    </row>
    <row r="44" spans="1:15" x14ac:dyDescent="0.2">
      <c r="A44">
        <v>704</v>
      </c>
      <c r="B44">
        <v>129636.1</v>
      </c>
      <c r="C44">
        <v>473362.5</v>
      </c>
      <c r="D44">
        <v>7</v>
      </c>
      <c r="E44">
        <v>222</v>
      </c>
      <c r="F44">
        <v>129417</v>
      </c>
      <c r="G44">
        <v>473400</v>
      </c>
      <c r="H44" t="s">
        <v>14</v>
      </c>
      <c r="I44">
        <v>-2.25</v>
      </c>
      <c r="J44">
        <v>-2.25</v>
      </c>
      <c r="K44">
        <v>0</v>
      </c>
      <c r="L44">
        <v>0</v>
      </c>
      <c r="M44">
        <v>0</v>
      </c>
      <c r="N44">
        <v>0</v>
      </c>
      <c r="O44">
        <v>0</v>
      </c>
    </row>
    <row r="45" spans="1:15" x14ac:dyDescent="0.2">
      <c r="A45">
        <v>801</v>
      </c>
      <c r="B45">
        <v>129091.1</v>
      </c>
      <c r="C45">
        <v>472772.5</v>
      </c>
      <c r="D45">
        <v>8</v>
      </c>
      <c r="E45">
        <v>215</v>
      </c>
      <c r="F45">
        <v>129303</v>
      </c>
      <c r="G45">
        <v>472736</v>
      </c>
      <c r="H45" t="s">
        <v>5</v>
      </c>
      <c r="I45">
        <v>-2.33</v>
      </c>
      <c r="J45">
        <v>-2.33</v>
      </c>
      <c r="K45">
        <v>0</v>
      </c>
      <c r="L45">
        <v>-2.472</v>
      </c>
      <c r="M45">
        <v>-2.6360000000000001</v>
      </c>
      <c r="N45">
        <v>-2.472</v>
      </c>
      <c r="O45">
        <v>-2.6360000000000001</v>
      </c>
    </row>
    <row r="46" spans="1:15" x14ac:dyDescent="0.2">
      <c r="A46">
        <v>802</v>
      </c>
      <c r="B46">
        <v>129212.2</v>
      </c>
      <c r="C46">
        <v>472733.4</v>
      </c>
      <c r="D46">
        <v>8</v>
      </c>
      <c r="E46">
        <v>89</v>
      </c>
      <c r="F46">
        <v>129300</v>
      </c>
      <c r="G46">
        <v>472718</v>
      </c>
      <c r="H46" t="s">
        <v>5</v>
      </c>
      <c r="I46">
        <v>-2.33</v>
      </c>
      <c r="J46">
        <v>-2.33</v>
      </c>
      <c r="K46">
        <v>0</v>
      </c>
      <c r="L46">
        <v>-1.341</v>
      </c>
      <c r="M46">
        <v>-1.524</v>
      </c>
      <c r="N46">
        <v>-1.341</v>
      </c>
      <c r="O46">
        <v>-1.524</v>
      </c>
    </row>
    <row r="47" spans="1:15" x14ac:dyDescent="0.2">
      <c r="A47">
        <v>803</v>
      </c>
      <c r="B47">
        <v>129382.9</v>
      </c>
      <c r="C47">
        <v>472920</v>
      </c>
      <c r="D47">
        <v>8</v>
      </c>
      <c r="E47">
        <v>47.6</v>
      </c>
      <c r="F47">
        <v>129336</v>
      </c>
      <c r="G47">
        <v>472928</v>
      </c>
      <c r="H47" t="s">
        <v>14</v>
      </c>
      <c r="I47">
        <v>-2.33</v>
      </c>
      <c r="J47">
        <v>-2.33</v>
      </c>
      <c r="K47">
        <v>0</v>
      </c>
      <c r="L47">
        <v>0</v>
      </c>
      <c r="M47">
        <v>0</v>
      </c>
      <c r="N47">
        <v>0</v>
      </c>
      <c r="O47">
        <v>0</v>
      </c>
    </row>
    <row r="48" spans="1:15" x14ac:dyDescent="0.2">
      <c r="A48">
        <v>804</v>
      </c>
      <c r="B48">
        <v>129674.6</v>
      </c>
      <c r="C48">
        <v>472891.5</v>
      </c>
      <c r="D48">
        <v>8</v>
      </c>
      <c r="E48">
        <v>339.9</v>
      </c>
      <c r="F48">
        <v>129340</v>
      </c>
      <c r="G48">
        <v>472949</v>
      </c>
      <c r="H48" t="s">
        <v>14</v>
      </c>
      <c r="I48">
        <v>-2.4</v>
      </c>
      <c r="J48">
        <v>-2.4</v>
      </c>
      <c r="K48">
        <v>0</v>
      </c>
      <c r="L48">
        <v>0</v>
      </c>
      <c r="M48">
        <v>0</v>
      </c>
      <c r="N48">
        <v>0</v>
      </c>
      <c r="O48">
        <v>0</v>
      </c>
    </row>
    <row r="49" spans="1:15" x14ac:dyDescent="0.2">
      <c r="A49">
        <v>805</v>
      </c>
      <c r="B49">
        <v>129876.5</v>
      </c>
      <c r="C49">
        <v>472950.2</v>
      </c>
      <c r="D49">
        <v>8</v>
      </c>
      <c r="E49">
        <v>529</v>
      </c>
      <c r="F49">
        <v>129355</v>
      </c>
      <c r="G49">
        <v>473040</v>
      </c>
      <c r="H49" t="s">
        <v>14</v>
      </c>
      <c r="I49">
        <v>-2.4</v>
      </c>
      <c r="J49">
        <v>-2.4</v>
      </c>
      <c r="K49">
        <v>0</v>
      </c>
      <c r="L49">
        <v>0</v>
      </c>
      <c r="M49">
        <v>0</v>
      </c>
      <c r="N49">
        <v>0</v>
      </c>
      <c r="O49">
        <v>0</v>
      </c>
    </row>
    <row r="50" spans="1:15" x14ac:dyDescent="0.2">
      <c r="A50">
        <v>901</v>
      </c>
      <c r="B50">
        <v>128910.7</v>
      </c>
      <c r="C50">
        <v>471959.3</v>
      </c>
      <c r="D50">
        <v>9</v>
      </c>
      <c r="E50">
        <v>253.6</v>
      </c>
      <c r="F50">
        <v>129161</v>
      </c>
      <c r="G50">
        <v>471916</v>
      </c>
      <c r="H50" t="s">
        <v>5</v>
      </c>
      <c r="I50">
        <v>-2.25</v>
      </c>
      <c r="J50">
        <v>-2.25</v>
      </c>
      <c r="K50">
        <v>0</v>
      </c>
      <c r="L50">
        <v>0</v>
      </c>
      <c r="M50">
        <v>-1.5209999999999999</v>
      </c>
      <c r="N50">
        <v>0</v>
      </c>
      <c r="O50">
        <v>-1.5209999999999999</v>
      </c>
    </row>
    <row r="51" spans="1:15" x14ac:dyDescent="0.2">
      <c r="A51">
        <v>902</v>
      </c>
      <c r="B51">
        <v>129040.4</v>
      </c>
      <c r="C51">
        <v>471922.1</v>
      </c>
      <c r="D51">
        <v>9</v>
      </c>
      <c r="E51">
        <v>119.5</v>
      </c>
      <c r="F51">
        <v>129158</v>
      </c>
      <c r="G51">
        <v>471902</v>
      </c>
      <c r="H51" t="s">
        <v>5</v>
      </c>
      <c r="I51">
        <v>-2.25</v>
      </c>
      <c r="J51">
        <v>-2.25</v>
      </c>
      <c r="K51">
        <v>0</v>
      </c>
      <c r="L51">
        <v>-1.395</v>
      </c>
      <c r="M51">
        <v>-1.5509999999999999</v>
      </c>
      <c r="N51">
        <v>-1.395</v>
      </c>
      <c r="O51">
        <v>-1.5509999999999999</v>
      </c>
    </row>
    <row r="52" spans="1:15" x14ac:dyDescent="0.2">
      <c r="A52">
        <v>903</v>
      </c>
      <c r="B52">
        <v>129094.7</v>
      </c>
      <c r="C52">
        <v>471916.7</v>
      </c>
      <c r="D52">
        <v>9</v>
      </c>
      <c r="E52">
        <v>65</v>
      </c>
      <c r="F52">
        <v>129159</v>
      </c>
      <c r="G52">
        <v>471906</v>
      </c>
      <c r="H52" t="s">
        <v>5</v>
      </c>
      <c r="I52">
        <v>-2.25</v>
      </c>
      <c r="J52">
        <v>-2.25</v>
      </c>
      <c r="K52">
        <v>0</v>
      </c>
      <c r="L52">
        <v>-1.325</v>
      </c>
      <c r="M52">
        <v>-1.5309999999999999</v>
      </c>
      <c r="N52">
        <v>-1.325</v>
      </c>
      <c r="O52">
        <v>-1.5309999999999999</v>
      </c>
    </row>
    <row r="53" spans="1:15" x14ac:dyDescent="0.2">
      <c r="A53">
        <v>904</v>
      </c>
      <c r="B53">
        <v>129227</v>
      </c>
      <c r="C53">
        <v>471888.8</v>
      </c>
      <c r="D53">
        <v>9</v>
      </c>
      <c r="E53">
        <v>70.099999999999994</v>
      </c>
      <c r="F53">
        <v>129158</v>
      </c>
      <c r="G53">
        <v>471901</v>
      </c>
      <c r="H53" t="s">
        <v>14</v>
      </c>
      <c r="I53">
        <v>-2.25</v>
      </c>
      <c r="J53">
        <v>-2.25</v>
      </c>
      <c r="K53">
        <v>0</v>
      </c>
      <c r="L53">
        <v>-1.331</v>
      </c>
      <c r="M53">
        <v>-1.5129999999999999</v>
      </c>
      <c r="N53">
        <v>-1.331</v>
      </c>
      <c r="O53">
        <v>-1.5129999999999999</v>
      </c>
    </row>
    <row r="54" spans="1:15" x14ac:dyDescent="0.2">
      <c r="A54">
        <v>905</v>
      </c>
      <c r="B54">
        <v>129311.8</v>
      </c>
      <c r="C54">
        <v>471883.4</v>
      </c>
      <c r="D54">
        <v>9</v>
      </c>
      <c r="E54">
        <v>154.6</v>
      </c>
      <c r="F54">
        <v>129160</v>
      </c>
      <c r="G54">
        <v>471910</v>
      </c>
      <c r="H54" t="s">
        <v>14</v>
      </c>
      <c r="I54">
        <v>-2.25</v>
      </c>
      <c r="J54">
        <v>-2.25</v>
      </c>
      <c r="K54">
        <v>0</v>
      </c>
      <c r="L54">
        <v>-1.321</v>
      </c>
      <c r="M54">
        <v>-1.474</v>
      </c>
      <c r="N54">
        <v>-1.321</v>
      </c>
      <c r="O54">
        <v>-1.474</v>
      </c>
    </row>
    <row r="55" spans="1:15" x14ac:dyDescent="0.2">
      <c r="A55">
        <v>906</v>
      </c>
      <c r="B55">
        <v>129411</v>
      </c>
      <c r="C55">
        <v>471900.6</v>
      </c>
      <c r="D55">
        <v>9</v>
      </c>
      <c r="E55">
        <v>249.3</v>
      </c>
      <c r="F55">
        <v>129165</v>
      </c>
      <c r="G55">
        <v>471943</v>
      </c>
      <c r="H55" t="s">
        <v>14</v>
      </c>
      <c r="I55">
        <v>-2.25</v>
      </c>
      <c r="J55">
        <v>-2.25</v>
      </c>
      <c r="K55">
        <v>0</v>
      </c>
      <c r="L55">
        <v>-1.3140000000000001</v>
      </c>
      <c r="M55">
        <v>-1.446</v>
      </c>
      <c r="N55">
        <v>-1.3140000000000001</v>
      </c>
      <c r="O55">
        <v>-1.446</v>
      </c>
    </row>
    <row r="56" spans="1:15" x14ac:dyDescent="0.2">
      <c r="A56">
        <v>1001</v>
      </c>
      <c r="B56">
        <v>128509.7</v>
      </c>
      <c r="C56">
        <v>470183.8</v>
      </c>
      <c r="D56">
        <v>10</v>
      </c>
      <c r="E56">
        <v>343.7</v>
      </c>
      <c r="F56">
        <v>128849</v>
      </c>
      <c r="G56">
        <v>470128</v>
      </c>
      <c r="H56" t="s">
        <v>5</v>
      </c>
      <c r="I56">
        <v>-2.5</v>
      </c>
      <c r="J56">
        <v>-2.5</v>
      </c>
      <c r="K56">
        <v>0</v>
      </c>
      <c r="L56">
        <v>-1.5640000000000001</v>
      </c>
      <c r="M56">
        <v>-1.6919999999999999</v>
      </c>
      <c r="N56">
        <v>-1.5640000000000001</v>
      </c>
      <c r="O56">
        <v>-1.6919999999999999</v>
      </c>
    </row>
    <row r="57" spans="1:15" x14ac:dyDescent="0.2">
      <c r="A57">
        <v>1002</v>
      </c>
      <c r="B57">
        <v>128644.7</v>
      </c>
      <c r="C57">
        <v>470181.1</v>
      </c>
      <c r="D57">
        <v>10</v>
      </c>
      <c r="E57">
        <v>210.2</v>
      </c>
      <c r="F57">
        <v>128852</v>
      </c>
      <c r="G57">
        <v>470145</v>
      </c>
      <c r="H57" t="s">
        <v>5</v>
      </c>
      <c r="I57">
        <v>-2.2000000000000002</v>
      </c>
      <c r="J57">
        <v>-2.2999999999999998</v>
      </c>
      <c r="K57">
        <v>0</v>
      </c>
      <c r="L57">
        <v>-1.3580000000000001</v>
      </c>
      <c r="M57">
        <v>-1.5149999999999999</v>
      </c>
      <c r="N57">
        <v>-1.3580000000000001</v>
      </c>
      <c r="O57">
        <v>-1.5149999999999999</v>
      </c>
    </row>
    <row r="58" spans="1:15" x14ac:dyDescent="0.2">
      <c r="A58">
        <v>1003</v>
      </c>
      <c r="B58">
        <v>128740</v>
      </c>
      <c r="C58">
        <v>470170.5</v>
      </c>
      <c r="D58">
        <v>10</v>
      </c>
      <c r="E58">
        <v>114.5</v>
      </c>
      <c r="F58">
        <v>128853</v>
      </c>
      <c r="G58">
        <v>470151</v>
      </c>
      <c r="H58" t="s">
        <v>5</v>
      </c>
      <c r="I58">
        <v>-2.2000000000000002</v>
      </c>
      <c r="J58">
        <v>-2.2999999999999998</v>
      </c>
      <c r="K58">
        <v>0</v>
      </c>
      <c r="L58">
        <v>-1.1930000000000001</v>
      </c>
      <c r="M58">
        <v>-1.423</v>
      </c>
      <c r="N58">
        <v>-1.1930000000000001</v>
      </c>
      <c r="O58">
        <v>-1.423</v>
      </c>
    </row>
    <row r="59" spans="1:15" x14ac:dyDescent="0.2">
      <c r="A59">
        <v>1004</v>
      </c>
      <c r="B59">
        <v>128916</v>
      </c>
      <c r="C59">
        <v>470163.7</v>
      </c>
      <c r="D59">
        <v>10</v>
      </c>
      <c r="E59">
        <v>60</v>
      </c>
      <c r="F59">
        <v>128857</v>
      </c>
      <c r="G59">
        <v>470174</v>
      </c>
      <c r="H59" t="s">
        <v>14</v>
      </c>
      <c r="I59">
        <v>-1.8</v>
      </c>
      <c r="J59">
        <v>-2</v>
      </c>
      <c r="K59">
        <v>0</v>
      </c>
      <c r="L59">
        <v>-0.89500000000000002</v>
      </c>
      <c r="M59">
        <v>-1.17</v>
      </c>
      <c r="N59">
        <v>-0.89500000000000002</v>
      </c>
      <c r="O59">
        <v>-1.17</v>
      </c>
    </row>
    <row r="60" spans="1:15" x14ac:dyDescent="0.2">
      <c r="A60">
        <v>1005</v>
      </c>
      <c r="B60">
        <v>129073.5</v>
      </c>
      <c r="C60">
        <v>470077.4</v>
      </c>
      <c r="D60">
        <v>10</v>
      </c>
      <c r="E60">
        <v>229.9</v>
      </c>
      <c r="F60">
        <v>128847</v>
      </c>
      <c r="G60">
        <v>470115</v>
      </c>
      <c r="H60" t="s">
        <v>14</v>
      </c>
      <c r="I60">
        <v>-1.8</v>
      </c>
      <c r="J60">
        <v>-2</v>
      </c>
      <c r="K60">
        <v>0</v>
      </c>
      <c r="L60">
        <v>-1.1759999999999999</v>
      </c>
      <c r="M60">
        <v>-1.3220000000000001</v>
      </c>
      <c r="N60">
        <v>-1.1759999999999999</v>
      </c>
      <c r="O60">
        <v>-1.3220000000000001</v>
      </c>
    </row>
    <row r="61" spans="1:15" x14ac:dyDescent="0.2">
      <c r="A61">
        <v>1006</v>
      </c>
      <c r="B61">
        <v>129208.5</v>
      </c>
      <c r="C61">
        <v>470131.7</v>
      </c>
      <c r="D61">
        <v>10</v>
      </c>
      <c r="E61">
        <v>353.6</v>
      </c>
      <c r="F61">
        <v>128860</v>
      </c>
      <c r="G61">
        <v>470193</v>
      </c>
      <c r="H61" t="s">
        <v>14</v>
      </c>
      <c r="I61">
        <v>-1.8</v>
      </c>
      <c r="J61">
        <v>-2</v>
      </c>
      <c r="K61">
        <v>0</v>
      </c>
      <c r="L61">
        <v>0</v>
      </c>
      <c r="M61">
        <v>0</v>
      </c>
      <c r="N61">
        <v>0</v>
      </c>
      <c r="O61">
        <v>0</v>
      </c>
    </row>
    <row r="62" spans="1:15" x14ac:dyDescent="0.2">
      <c r="A62">
        <v>9001</v>
      </c>
      <c r="B62">
        <v>129880.9</v>
      </c>
      <c r="C62">
        <v>470098.2</v>
      </c>
      <c r="D62">
        <v>10</v>
      </c>
      <c r="E62">
        <v>1021.7</v>
      </c>
      <c r="F62">
        <v>128875</v>
      </c>
      <c r="G62">
        <v>470275</v>
      </c>
      <c r="H62" t="s">
        <v>14</v>
      </c>
      <c r="I62">
        <v>-1.55</v>
      </c>
      <c r="J62">
        <v>-1.75</v>
      </c>
      <c r="K62">
        <v>0</v>
      </c>
      <c r="L62">
        <v>0</v>
      </c>
      <c r="M62">
        <v>0</v>
      </c>
      <c r="N62">
        <v>0</v>
      </c>
      <c r="O62">
        <v>0</v>
      </c>
    </row>
    <row r="63" spans="1:15" x14ac:dyDescent="0.2">
      <c r="A63">
        <v>9003</v>
      </c>
      <c r="B63">
        <v>127894.2</v>
      </c>
      <c r="C63">
        <v>469952.1</v>
      </c>
      <c r="D63">
        <v>11</v>
      </c>
      <c r="E63">
        <v>913.2</v>
      </c>
      <c r="F63">
        <v>128795</v>
      </c>
      <c r="G63">
        <v>469803</v>
      </c>
      <c r="H63" t="s">
        <v>5</v>
      </c>
      <c r="I63">
        <v>-2.25</v>
      </c>
      <c r="J63">
        <v>-2.25</v>
      </c>
      <c r="K63">
        <v>0</v>
      </c>
      <c r="L63">
        <v>0</v>
      </c>
      <c r="M63">
        <v>-1.86</v>
      </c>
      <c r="N63">
        <v>0</v>
      </c>
      <c r="O63">
        <v>-1.86</v>
      </c>
    </row>
    <row r="64" spans="1:15" x14ac:dyDescent="0.2">
      <c r="A64">
        <v>1101</v>
      </c>
      <c r="B64">
        <v>128013.4</v>
      </c>
      <c r="C64">
        <v>469713.4</v>
      </c>
      <c r="D64">
        <v>11</v>
      </c>
      <c r="E64">
        <v>756.7</v>
      </c>
      <c r="F64">
        <v>128760</v>
      </c>
      <c r="G64">
        <v>469590</v>
      </c>
      <c r="H64" t="s">
        <v>5</v>
      </c>
      <c r="I64">
        <v>-2.2000000000000002</v>
      </c>
      <c r="J64">
        <v>-2.2999999999999998</v>
      </c>
      <c r="K64">
        <v>-1.901</v>
      </c>
      <c r="L64">
        <v>-1.911</v>
      </c>
      <c r="M64">
        <v>-1.92</v>
      </c>
      <c r="N64">
        <v>-1.911</v>
      </c>
      <c r="O64">
        <v>-1.92</v>
      </c>
    </row>
    <row r="65" spans="1:15" x14ac:dyDescent="0.2">
      <c r="A65">
        <v>1102</v>
      </c>
      <c r="B65">
        <v>128217.2</v>
      </c>
      <c r="C65">
        <v>469593.9</v>
      </c>
      <c r="D65">
        <v>11</v>
      </c>
      <c r="E65">
        <v>536.1</v>
      </c>
      <c r="F65">
        <v>128746</v>
      </c>
      <c r="G65">
        <v>469506</v>
      </c>
      <c r="H65" t="s">
        <v>5</v>
      </c>
      <c r="I65">
        <v>-2.2000000000000002</v>
      </c>
      <c r="J65">
        <v>-2.2999999999999998</v>
      </c>
      <c r="K65">
        <v>-1.8819999999999999</v>
      </c>
      <c r="L65">
        <v>-1.8859999999999999</v>
      </c>
      <c r="M65">
        <v>-1.903</v>
      </c>
      <c r="N65">
        <v>-1.8859999999999999</v>
      </c>
      <c r="O65">
        <v>-1.903</v>
      </c>
    </row>
    <row r="66" spans="1:15" x14ac:dyDescent="0.2">
      <c r="A66">
        <v>1103</v>
      </c>
      <c r="B66">
        <v>128439.5</v>
      </c>
      <c r="C66">
        <v>469461.2</v>
      </c>
      <c r="D66">
        <v>11</v>
      </c>
      <c r="E66">
        <v>295.2</v>
      </c>
      <c r="F66">
        <v>128731</v>
      </c>
      <c r="G66">
        <v>469413</v>
      </c>
      <c r="H66" t="s">
        <v>5</v>
      </c>
      <c r="I66">
        <v>-2.2000000000000002</v>
      </c>
      <c r="J66">
        <v>-2.2999999999999998</v>
      </c>
      <c r="K66">
        <v>-1.7509999999999999</v>
      </c>
      <c r="L66">
        <v>-1.714</v>
      </c>
      <c r="M66">
        <v>-1.7649999999999999</v>
      </c>
      <c r="N66">
        <v>-1.714</v>
      </c>
      <c r="O66">
        <v>-1.7649999999999999</v>
      </c>
    </row>
    <row r="67" spans="1:15" x14ac:dyDescent="0.2">
      <c r="A67">
        <v>1104</v>
      </c>
      <c r="B67">
        <v>128581.2</v>
      </c>
      <c r="C67">
        <v>469397.4</v>
      </c>
      <c r="D67">
        <v>11</v>
      </c>
      <c r="E67">
        <v>144.9</v>
      </c>
      <c r="F67">
        <v>128724</v>
      </c>
      <c r="G67">
        <v>469374</v>
      </c>
      <c r="H67" t="s">
        <v>5</v>
      </c>
      <c r="I67">
        <v>-2.2000000000000002</v>
      </c>
      <c r="J67">
        <v>-2.2999999999999998</v>
      </c>
      <c r="K67">
        <v>-1.5820000000000001</v>
      </c>
      <c r="L67">
        <v>-1.47</v>
      </c>
      <c r="M67">
        <v>-1.597</v>
      </c>
      <c r="N67">
        <v>-1.47</v>
      </c>
      <c r="O67">
        <v>-1.597</v>
      </c>
    </row>
    <row r="68" spans="1:15" x14ac:dyDescent="0.2">
      <c r="A68">
        <v>1105</v>
      </c>
      <c r="B68">
        <v>128782.3</v>
      </c>
      <c r="C68">
        <v>469307.1</v>
      </c>
      <c r="D68">
        <v>11</v>
      </c>
      <c r="E68">
        <v>68.2</v>
      </c>
      <c r="F68">
        <v>128715</v>
      </c>
      <c r="G68">
        <v>469318</v>
      </c>
      <c r="H68" t="s">
        <v>14</v>
      </c>
      <c r="I68">
        <v>-1.8</v>
      </c>
      <c r="J68">
        <v>-2</v>
      </c>
      <c r="K68">
        <v>0</v>
      </c>
      <c r="L68">
        <v>-1.1559999999999999</v>
      </c>
      <c r="M68">
        <v>-1.3460000000000001</v>
      </c>
      <c r="N68">
        <v>-1.1559999999999999</v>
      </c>
      <c r="O68">
        <v>-1.3460000000000001</v>
      </c>
    </row>
    <row r="69" spans="1:15" x14ac:dyDescent="0.2">
      <c r="A69">
        <v>1106</v>
      </c>
      <c r="B69">
        <v>128943.8</v>
      </c>
      <c r="C69">
        <v>469273.9</v>
      </c>
      <c r="D69">
        <v>11</v>
      </c>
      <c r="E69">
        <v>232.9</v>
      </c>
      <c r="F69">
        <v>128714</v>
      </c>
      <c r="G69">
        <v>469312</v>
      </c>
      <c r="H69" t="s">
        <v>14</v>
      </c>
      <c r="I69">
        <v>-1.8</v>
      </c>
      <c r="J69">
        <v>-2</v>
      </c>
      <c r="K69">
        <v>0</v>
      </c>
      <c r="L69">
        <v>-1.2250000000000001</v>
      </c>
      <c r="M69">
        <v>-1.3680000000000001</v>
      </c>
      <c r="N69">
        <v>-1.2250000000000001</v>
      </c>
      <c r="O69">
        <v>-1.3680000000000001</v>
      </c>
    </row>
    <row r="70" spans="1:15" x14ac:dyDescent="0.2">
      <c r="A70">
        <v>1201</v>
      </c>
      <c r="B70">
        <v>128295.3</v>
      </c>
      <c r="C70">
        <v>468726.6</v>
      </c>
      <c r="D70">
        <v>12</v>
      </c>
      <c r="E70">
        <v>309.8</v>
      </c>
      <c r="F70">
        <v>128601</v>
      </c>
      <c r="G70">
        <v>468674</v>
      </c>
      <c r="H70" t="s">
        <v>5</v>
      </c>
      <c r="I70">
        <v>-2.2000000000000002</v>
      </c>
      <c r="J70">
        <v>-2.2999999999999998</v>
      </c>
      <c r="K70">
        <v>0</v>
      </c>
      <c r="L70">
        <v>0</v>
      </c>
      <c r="M70">
        <v>-1.6140000000000001</v>
      </c>
      <c r="N70">
        <v>0</v>
      </c>
      <c r="O70">
        <v>-1.6140000000000001</v>
      </c>
    </row>
    <row r="71" spans="1:15" x14ac:dyDescent="0.2">
      <c r="A71">
        <v>1202</v>
      </c>
      <c r="B71">
        <v>128377.3</v>
      </c>
      <c r="C71">
        <v>468657.6</v>
      </c>
      <c r="D71">
        <v>12</v>
      </c>
      <c r="E71">
        <v>217.2</v>
      </c>
      <c r="F71">
        <v>128591</v>
      </c>
      <c r="G71">
        <v>468621</v>
      </c>
      <c r="H71" t="s">
        <v>5</v>
      </c>
      <c r="I71">
        <v>-2.2000000000000002</v>
      </c>
      <c r="J71">
        <v>-2.2999999999999998</v>
      </c>
      <c r="K71">
        <v>0</v>
      </c>
      <c r="L71">
        <v>0</v>
      </c>
      <c r="M71">
        <v>-1.5640000000000001</v>
      </c>
      <c r="N71">
        <v>0</v>
      </c>
      <c r="O71">
        <v>-1.5640000000000001</v>
      </c>
    </row>
    <row r="72" spans="1:15" x14ac:dyDescent="0.2">
      <c r="A72">
        <v>1203</v>
      </c>
      <c r="B72">
        <v>128513.7</v>
      </c>
      <c r="C72">
        <v>468580.6</v>
      </c>
      <c r="D72">
        <v>12</v>
      </c>
      <c r="E72">
        <v>69.7</v>
      </c>
      <c r="F72">
        <v>128582</v>
      </c>
      <c r="G72">
        <v>468569</v>
      </c>
      <c r="H72" t="s">
        <v>5</v>
      </c>
      <c r="I72">
        <v>-2.2000000000000002</v>
      </c>
      <c r="J72">
        <v>-2.2999999999999998</v>
      </c>
      <c r="K72">
        <v>0</v>
      </c>
      <c r="L72">
        <v>-1.2509999999999999</v>
      </c>
      <c r="M72">
        <v>-1.431</v>
      </c>
      <c r="N72">
        <v>-1.2509999999999999</v>
      </c>
      <c r="O72">
        <v>-1.431</v>
      </c>
    </row>
    <row r="73" spans="1:15" x14ac:dyDescent="0.2">
      <c r="A73">
        <v>1204</v>
      </c>
      <c r="B73">
        <v>128700.3</v>
      </c>
      <c r="C73">
        <v>468557.9</v>
      </c>
      <c r="D73">
        <v>12</v>
      </c>
      <c r="E73">
        <v>118.1</v>
      </c>
      <c r="F73">
        <v>128584</v>
      </c>
      <c r="G73">
        <v>468578</v>
      </c>
      <c r="H73" t="s">
        <v>14</v>
      </c>
      <c r="I73">
        <v>-1.8</v>
      </c>
      <c r="J73">
        <v>-2</v>
      </c>
      <c r="K73">
        <v>0</v>
      </c>
      <c r="L73">
        <v>0</v>
      </c>
      <c r="M73">
        <v>0</v>
      </c>
      <c r="N73">
        <v>0</v>
      </c>
      <c r="O73">
        <v>0</v>
      </c>
    </row>
    <row r="74" spans="1:15" x14ac:dyDescent="0.2">
      <c r="A74">
        <v>1205</v>
      </c>
      <c r="B74">
        <v>129077.5</v>
      </c>
      <c r="C74">
        <v>468271.3</v>
      </c>
      <c r="D74">
        <v>12</v>
      </c>
      <c r="E74">
        <v>538.6</v>
      </c>
      <c r="F74">
        <v>128547</v>
      </c>
      <c r="G74">
        <v>468362</v>
      </c>
      <c r="H74" t="s">
        <v>14</v>
      </c>
      <c r="I74">
        <v>-1.8</v>
      </c>
      <c r="J74">
        <v>-2</v>
      </c>
      <c r="K74">
        <v>0</v>
      </c>
      <c r="L74">
        <v>0</v>
      </c>
      <c r="M74">
        <v>0</v>
      </c>
      <c r="N74">
        <v>0</v>
      </c>
      <c r="O74">
        <v>0</v>
      </c>
    </row>
    <row r="75" spans="1:15" x14ac:dyDescent="0.2">
      <c r="A75">
        <v>1301</v>
      </c>
      <c r="B75">
        <v>128057</v>
      </c>
      <c r="C75">
        <v>467029.3</v>
      </c>
      <c r="D75">
        <v>13</v>
      </c>
      <c r="E75">
        <v>254.6</v>
      </c>
      <c r="F75">
        <v>128308</v>
      </c>
      <c r="G75">
        <v>466987</v>
      </c>
      <c r="H75" t="s">
        <v>5</v>
      </c>
      <c r="I75">
        <v>-1.95</v>
      </c>
      <c r="J75">
        <v>-1.95</v>
      </c>
      <c r="K75">
        <v>0</v>
      </c>
      <c r="L75">
        <v>0</v>
      </c>
      <c r="M75">
        <v>-1.284</v>
      </c>
      <c r="N75">
        <v>0</v>
      </c>
      <c r="O75">
        <v>-1.284</v>
      </c>
    </row>
    <row r="76" spans="1:15" x14ac:dyDescent="0.2">
      <c r="A76">
        <v>1302</v>
      </c>
      <c r="B76">
        <v>128262.2</v>
      </c>
      <c r="C76">
        <v>467070.3</v>
      </c>
      <c r="D76">
        <v>13</v>
      </c>
      <c r="E76">
        <v>59.4</v>
      </c>
      <c r="F76">
        <v>128321</v>
      </c>
      <c r="G76">
        <v>467060</v>
      </c>
      <c r="H76" t="s">
        <v>5</v>
      </c>
      <c r="I76">
        <v>-1.95</v>
      </c>
      <c r="J76">
        <v>-1.95</v>
      </c>
      <c r="K76">
        <v>0</v>
      </c>
      <c r="L76">
        <v>-0.88600000000000001</v>
      </c>
      <c r="M76">
        <v>-1.1819999999999999</v>
      </c>
      <c r="N76">
        <v>-0.88600000000000001</v>
      </c>
      <c r="O76">
        <v>-1.1819999999999999</v>
      </c>
    </row>
    <row r="77" spans="1:15" x14ac:dyDescent="0.2">
      <c r="A77">
        <v>1303</v>
      </c>
      <c r="B77">
        <v>128401.2</v>
      </c>
      <c r="C77">
        <v>467046.3</v>
      </c>
      <c r="D77">
        <v>13</v>
      </c>
      <c r="E77">
        <v>81.7</v>
      </c>
      <c r="F77">
        <v>128321</v>
      </c>
      <c r="G77">
        <v>467060</v>
      </c>
      <c r="H77" t="s">
        <v>14</v>
      </c>
      <c r="I77">
        <v>-1.45</v>
      </c>
      <c r="J77">
        <v>-1.65</v>
      </c>
      <c r="K77">
        <v>0</v>
      </c>
      <c r="L77">
        <v>-0.93300000000000005</v>
      </c>
      <c r="M77">
        <v>-1.1859999999999999</v>
      </c>
      <c r="N77">
        <v>-0.93300000000000005</v>
      </c>
      <c r="O77">
        <v>-1.1859999999999999</v>
      </c>
    </row>
    <row r="78" spans="1:15" x14ac:dyDescent="0.2">
      <c r="A78">
        <v>1304</v>
      </c>
      <c r="B78">
        <v>128724.1</v>
      </c>
      <c r="C78">
        <v>467062.1</v>
      </c>
      <c r="D78">
        <v>13</v>
      </c>
      <c r="E78">
        <v>396.9</v>
      </c>
      <c r="F78">
        <v>128333</v>
      </c>
      <c r="G78">
        <v>467131</v>
      </c>
      <c r="H78" t="s">
        <v>14</v>
      </c>
      <c r="I78">
        <v>-1.45</v>
      </c>
      <c r="J78">
        <v>-1.65</v>
      </c>
      <c r="K78">
        <v>0</v>
      </c>
      <c r="L78">
        <v>-1.2070000000000001</v>
      </c>
      <c r="M78">
        <v>-1.3720000000000001</v>
      </c>
      <c r="N78">
        <v>-1.2070000000000001</v>
      </c>
      <c r="O78">
        <v>-1.3720000000000001</v>
      </c>
    </row>
    <row r="79" spans="1:15" x14ac:dyDescent="0.2">
      <c r="A79">
        <v>1</v>
      </c>
      <c r="B79" s="3">
        <v>129709.5</v>
      </c>
      <c r="C79" s="3">
        <v>475363.5</v>
      </c>
      <c r="D79">
        <v>4</v>
      </c>
      <c r="E79">
        <v>48.5</v>
      </c>
      <c r="F79" s="3">
        <v>129709.5</v>
      </c>
      <c r="G79" s="3">
        <v>475363.5</v>
      </c>
      <c r="H79" t="s">
        <v>5</v>
      </c>
      <c r="I79">
        <v>-0.4</v>
      </c>
      <c r="J79">
        <v>-0.4</v>
      </c>
      <c r="K79">
        <v>0</v>
      </c>
      <c r="L79">
        <v>0</v>
      </c>
      <c r="M79">
        <v>-1.3220000000000001</v>
      </c>
      <c r="N79">
        <v>0</v>
      </c>
      <c r="O79">
        <v>-1.3220000000000001</v>
      </c>
    </row>
    <row r="80" spans="1:15" x14ac:dyDescent="0.2">
      <c r="A80">
        <v>2</v>
      </c>
      <c r="B80" s="3">
        <v>129824.5</v>
      </c>
      <c r="C80" s="3">
        <v>475375.5</v>
      </c>
      <c r="D80">
        <v>4</v>
      </c>
      <c r="E80">
        <v>51.5</v>
      </c>
      <c r="F80" s="3">
        <v>129824.5</v>
      </c>
      <c r="G80" s="3">
        <v>475375.5</v>
      </c>
      <c r="H80" t="s">
        <v>14</v>
      </c>
      <c r="I80">
        <v>-2.2999999999999998</v>
      </c>
      <c r="J80">
        <v>-2.2999999999999998</v>
      </c>
      <c r="K80">
        <v>0</v>
      </c>
      <c r="L80">
        <v>0</v>
      </c>
      <c r="M80">
        <v>-1.3759999999999999</v>
      </c>
      <c r="N80">
        <v>0</v>
      </c>
      <c r="O80">
        <v>-1.3759999999999999</v>
      </c>
    </row>
    <row r="81" spans="1:15" x14ac:dyDescent="0.2">
      <c r="A81">
        <v>3</v>
      </c>
      <c r="B81" s="3">
        <v>129798.5</v>
      </c>
      <c r="C81" s="3">
        <v>475375.5</v>
      </c>
      <c r="D81">
        <v>4</v>
      </c>
      <c r="E81">
        <v>48.5</v>
      </c>
      <c r="F81" s="3">
        <v>129798.5</v>
      </c>
      <c r="G81" s="3">
        <v>475375.5</v>
      </c>
      <c r="H81" t="s">
        <v>14</v>
      </c>
      <c r="I81">
        <v>-0.4</v>
      </c>
      <c r="J81">
        <v>-0.4</v>
      </c>
      <c r="K81">
        <v>0</v>
      </c>
      <c r="L81">
        <v>0</v>
      </c>
      <c r="M81">
        <v>-1.1439999999999999</v>
      </c>
      <c r="N81">
        <v>0</v>
      </c>
      <c r="O81">
        <v>-1.1439999999999999</v>
      </c>
    </row>
    <row r="82" spans="1:15" x14ac:dyDescent="0.2">
      <c r="A82">
        <v>4</v>
      </c>
      <c r="B82" s="3">
        <v>129629.5</v>
      </c>
      <c r="C82" s="3">
        <v>474900.5</v>
      </c>
      <c r="D82">
        <v>5</v>
      </c>
      <c r="E82">
        <v>48.5</v>
      </c>
      <c r="F82" s="3">
        <v>129629.5</v>
      </c>
      <c r="G82" s="3">
        <v>474900.5</v>
      </c>
      <c r="H82" t="s">
        <v>5</v>
      </c>
      <c r="I82">
        <v>-0.4</v>
      </c>
      <c r="J82">
        <v>-0.4</v>
      </c>
      <c r="K82">
        <v>0</v>
      </c>
      <c r="L82">
        <v>0</v>
      </c>
      <c r="M82">
        <v>-1.403</v>
      </c>
      <c r="N82">
        <v>0</v>
      </c>
      <c r="O82">
        <v>-1.403</v>
      </c>
    </row>
    <row r="83" spans="1:15" x14ac:dyDescent="0.2">
      <c r="A83">
        <v>5</v>
      </c>
      <c r="B83" s="3">
        <v>129720.5</v>
      </c>
      <c r="C83" s="3">
        <v>474901.5</v>
      </c>
      <c r="D83">
        <v>5</v>
      </c>
      <c r="E83">
        <v>48.5</v>
      </c>
      <c r="F83" s="3">
        <v>129720.5</v>
      </c>
      <c r="G83" s="3">
        <v>474901.5</v>
      </c>
      <c r="H83" t="s">
        <v>14</v>
      </c>
      <c r="I83">
        <v>-0.4</v>
      </c>
      <c r="J83">
        <v>-0.4</v>
      </c>
      <c r="K83">
        <v>0</v>
      </c>
      <c r="L83">
        <v>0</v>
      </c>
      <c r="M83">
        <v>-1.3819999999999999</v>
      </c>
      <c r="N83">
        <v>0</v>
      </c>
      <c r="O83">
        <v>-1.3819999999999999</v>
      </c>
    </row>
    <row r="84" spans="1:15" x14ac:dyDescent="0.2">
      <c r="A84">
        <v>6</v>
      </c>
      <c r="B84" s="3">
        <v>129720.5</v>
      </c>
      <c r="C84" s="3">
        <v>472009.5</v>
      </c>
      <c r="D84">
        <v>5</v>
      </c>
      <c r="E84">
        <v>51.5</v>
      </c>
      <c r="F84" s="3">
        <v>129720.5</v>
      </c>
      <c r="G84" s="3">
        <v>472009.5</v>
      </c>
      <c r="H84" t="s">
        <v>14</v>
      </c>
      <c r="I84">
        <v>-2.2999999999999998</v>
      </c>
      <c r="J84">
        <v>-2.2999999999999998</v>
      </c>
      <c r="K84">
        <v>0</v>
      </c>
      <c r="L84">
        <v>0</v>
      </c>
      <c r="M84">
        <v>-1.502</v>
      </c>
      <c r="N84">
        <v>0</v>
      </c>
      <c r="O84">
        <v>-1.502</v>
      </c>
    </row>
    <row r="85" spans="1:15" x14ac:dyDescent="0.2">
      <c r="A85">
        <v>7</v>
      </c>
      <c r="B85" s="3">
        <v>129129.5</v>
      </c>
      <c r="C85" s="3">
        <v>471968.5</v>
      </c>
      <c r="D85">
        <v>9</v>
      </c>
      <c r="E85">
        <v>48.5</v>
      </c>
      <c r="F85" s="3">
        <v>129129.5</v>
      </c>
      <c r="G85" s="3">
        <v>471968.5</v>
      </c>
      <c r="H85" t="s">
        <v>5</v>
      </c>
      <c r="I85">
        <v>-0.4</v>
      </c>
      <c r="J85">
        <v>-0.4</v>
      </c>
      <c r="K85">
        <v>0</v>
      </c>
      <c r="L85">
        <v>0</v>
      </c>
      <c r="M85">
        <v>-1.4890000000000001</v>
      </c>
      <c r="N85">
        <v>0</v>
      </c>
      <c r="O85">
        <v>-1.4890000000000001</v>
      </c>
    </row>
    <row r="86" spans="1:15" x14ac:dyDescent="0.2">
      <c r="A86">
        <v>8</v>
      </c>
      <c r="B86" s="3">
        <v>129212.5</v>
      </c>
      <c r="C86" s="3">
        <v>471972.5</v>
      </c>
      <c r="D86">
        <v>9</v>
      </c>
      <c r="E86">
        <v>51.5</v>
      </c>
      <c r="F86" s="3">
        <v>129212.5</v>
      </c>
      <c r="G86" s="3">
        <v>471972.5</v>
      </c>
      <c r="H86" t="s">
        <v>14</v>
      </c>
      <c r="I86">
        <v>-2.25</v>
      </c>
      <c r="J86">
        <v>-2.25</v>
      </c>
      <c r="K86">
        <v>0</v>
      </c>
      <c r="L86">
        <v>0</v>
      </c>
      <c r="M86">
        <v>-1.5649999999999999</v>
      </c>
      <c r="N86">
        <v>0</v>
      </c>
      <c r="O86">
        <v>-1.5649999999999999</v>
      </c>
    </row>
    <row r="87" spans="1:15" x14ac:dyDescent="0.2">
      <c r="A87">
        <v>9</v>
      </c>
      <c r="B87" s="3">
        <v>129244.5</v>
      </c>
      <c r="C87" s="3">
        <v>471974.5</v>
      </c>
      <c r="D87">
        <v>9</v>
      </c>
      <c r="E87">
        <v>48.5</v>
      </c>
      <c r="F87" s="3">
        <v>129244.5</v>
      </c>
      <c r="G87" s="3">
        <v>471974.5</v>
      </c>
      <c r="H87" t="s">
        <v>14</v>
      </c>
      <c r="I87">
        <v>-0.4</v>
      </c>
      <c r="J87">
        <v>-0.4</v>
      </c>
      <c r="K87">
        <v>0</v>
      </c>
      <c r="L87">
        <v>0</v>
      </c>
      <c r="M87">
        <v>-1.4810000000000001</v>
      </c>
      <c r="N87">
        <v>0</v>
      </c>
      <c r="O87">
        <v>-1.4810000000000001</v>
      </c>
    </row>
    <row r="88" spans="1:15" x14ac:dyDescent="0.2">
      <c r="A88">
        <v>10</v>
      </c>
      <c r="B88" s="3">
        <v>128657.5</v>
      </c>
      <c r="C88" s="3">
        <v>469338.5</v>
      </c>
      <c r="D88">
        <v>11</v>
      </c>
      <c r="E88">
        <v>48.5</v>
      </c>
      <c r="F88" s="3">
        <v>128657.5</v>
      </c>
      <c r="G88" s="3">
        <v>469338.5</v>
      </c>
      <c r="H88" t="s">
        <v>5</v>
      </c>
      <c r="I88">
        <v>-0.4</v>
      </c>
      <c r="J88">
        <v>-0.4</v>
      </c>
      <c r="K88">
        <v>0</v>
      </c>
      <c r="L88">
        <v>0</v>
      </c>
      <c r="M88">
        <v>-1.5589999999999999</v>
      </c>
      <c r="N88">
        <v>0</v>
      </c>
      <c r="O88">
        <v>-1.5589999999999999</v>
      </c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E721B4-ED8E-434B-9DEE-2C2B14F64426}">
  <dimension ref="A1:G67"/>
  <sheetViews>
    <sheetView workbookViewId="0">
      <selection activeCell="E5" sqref="E5"/>
    </sheetView>
  </sheetViews>
  <sheetFormatPr baseColWidth="10" defaultRowHeight="16" x14ac:dyDescent="0.2"/>
  <sheetData>
    <row r="1" spans="1:7" x14ac:dyDescent="0.2">
      <c r="A1" t="s">
        <v>19</v>
      </c>
      <c r="B1" s="2">
        <v>45682</v>
      </c>
      <c r="C1" s="2">
        <v>45870</v>
      </c>
      <c r="D1" s="2">
        <v>46054</v>
      </c>
      <c r="G1">
        <v>-1.3220000000000001</v>
      </c>
    </row>
    <row r="2" spans="1:7" x14ac:dyDescent="0.2">
      <c r="A2" t="s">
        <v>20</v>
      </c>
      <c r="B2" s="2">
        <v>45682</v>
      </c>
      <c r="C2" s="2">
        <v>45870</v>
      </c>
      <c r="D2" s="2">
        <v>46054</v>
      </c>
      <c r="G2">
        <v>-1.3759999999999999</v>
      </c>
    </row>
    <row r="3" spans="1:7" x14ac:dyDescent="0.2">
      <c r="A3" t="s">
        <v>21</v>
      </c>
      <c r="B3" s="2">
        <v>45682</v>
      </c>
      <c r="C3" s="2">
        <v>45870</v>
      </c>
      <c r="D3" s="2">
        <v>46054</v>
      </c>
      <c r="G3">
        <v>-1.1439999999999999</v>
      </c>
    </row>
    <row r="4" spans="1:7" x14ac:dyDescent="0.2">
      <c r="A4" t="s">
        <v>22</v>
      </c>
      <c r="B4" s="2">
        <v>45682</v>
      </c>
      <c r="C4" s="2">
        <v>45870</v>
      </c>
      <c r="D4" s="2">
        <v>46054</v>
      </c>
      <c r="G4">
        <v>-1.403</v>
      </c>
    </row>
    <row r="5" spans="1:7" x14ac:dyDescent="0.2">
      <c r="A5" t="s">
        <v>23</v>
      </c>
      <c r="B5" s="2">
        <v>45682</v>
      </c>
      <c r="C5" s="2">
        <v>45870</v>
      </c>
      <c r="D5" s="2">
        <v>46054</v>
      </c>
      <c r="G5">
        <v>-1.3819999999999999</v>
      </c>
    </row>
    <row r="6" spans="1:7" x14ac:dyDescent="0.2">
      <c r="A6" t="s">
        <v>24</v>
      </c>
      <c r="B6" s="2">
        <v>45682</v>
      </c>
      <c r="C6" s="2">
        <v>45870</v>
      </c>
      <c r="D6" s="2">
        <v>46054</v>
      </c>
      <c r="G6">
        <v>-1.502</v>
      </c>
    </row>
    <row r="7" spans="1:7" x14ac:dyDescent="0.2">
      <c r="A7" t="s">
        <v>25</v>
      </c>
      <c r="B7" s="2">
        <v>45682</v>
      </c>
      <c r="C7" s="2">
        <v>45870</v>
      </c>
      <c r="D7" s="2">
        <v>46054</v>
      </c>
      <c r="G7">
        <v>-1.4890000000000001</v>
      </c>
    </row>
    <row r="8" spans="1:7" x14ac:dyDescent="0.2">
      <c r="A8" t="s">
        <v>26</v>
      </c>
      <c r="B8" s="2">
        <v>45682</v>
      </c>
      <c r="C8" s="2">
        <v>45870</v>
      </c>
      <c r="D8" s="2">
        <v>46054</v>
      </c>
      <c r="G8">
        <v>-1.5649999999999999</v>
      </c>
    </row>
    <row r="9" spans="1:7" x14ac:dyDescent="0.2">
      <c r="A9" t="s">
        <v>27</v>
      </c>
      <c r="B9" s="2">
        <v>45682</v>
      </c>
      <c r="C9" s="2">
        <v>45870</v>
      </c>
      <c r="D9" s="2">
        <v>46054</v>
      </c>
      <c r="G9">
        <v>-1.4810000000000001</v>
      </c>
    </row>
    <row r="10" spans="1:7" x14ac:dyDescent="0.2">
      <c r="A10" t="s">
        <v>87</v>
      </c>
      <c r="B10" s="2">
        <v>45682</v>
      </c>
      <c r="C10" s="2">
        <v>45870</v>
      </c>
      <c r="D10" s="2">
        <v>46054</v>
      </c>
      <c r="G10">
        <v>-1.5589999999999999</v>
      </c>
    </row>
    <row r="11" spans="1:7" x14ac:dyDescent="0.2">
      <c r="A11" t="s">
        <v>28</v>
      </c>
      <c r="B11" s="2">
        <v>45682</v>
      </c>
      <c r="C11" s="2">
        <v>45870</v>
      </c>
      <c r="D11" s="2">
        <v>46054</v>
      </c>
      <c r="F11">
        <v>-1.6919999999999999</v>
      </c>
      <c r="G11">
        <v>-1.78</v>
      </c>
    </row>
    <row r="12" spans="1:7" x14ac:dyDescent="0.2">
      <c r="A12" t="s">
        <v>29</v>
      </c>
      <c r="B12" s="2">
        <v>45682</v>
      </c>
      <c r="C12" s="2">
        <v>45870</v>
      </c>
      <c r="D12" s="2">
        <v>46054</v>
      </c>
      <c r="F12">
        <v>-1.7390000000000001</v>
      </c>
      <c r="G12">
        <v>-1.841</v>
      </c>
    </row>
    <row r="13" spans="1:7" x14ac:dyDescent="0.2">
      <c r="A13" t="s">
        <v>30</v>
      </c>
      <c r="B13" s="2">
        <v>45682</v>
      </c>
      <c r="C13" s="2">
        <v>45870</v>
      </c>
      <c r="D13" s="2">
        <v>46054</v>
      </c>
      <c r="F13">
        <v>-1.4810000000000001</v>
      </c>
      <c r="G13">
        <v>-1.6839999999999999</v>
      </c>
    </row>
    <row r="14" spans="1:7" x14ac:dyDescent="0.2">
      <c r="A14" t="s">
        <v>31</v>
      </c>
      <c r="B14" s="2">
        <v>45682</v>
      </c>
      <c r="C14" s="2">
        <v>45870</v>
      </c>
      <c r="D14" s="2">
        <v>46054</v>
      </c>
      <c r="F14">
        <v>-1.49</v>
      </c>
      <c r="G14">
        <v>-1.7</v>
      </c>
    </row>
    <row r="15" spans="1:7" x14ac:dyDescent="0.2">
      <c r="A15" t="s">
        <v>32</v>
      </c>
      <c r="B15" s="2">
        <v>45682</v>
      </c>
      <c r="C15" s="2">
        <v>45870</v>
      </c>
      <c r="D15" s="2">
        <v>46054</v>
      </c>
      <c r="G15">
        <v>-1.6539999999999999</v>
      </c>
    </row>
    <row r="16" spans="1:7" x14ac:dyDescent="0.2">
      <c r="A16" t="s">
        <v>33</v>
      </c>
      <c r="B16" s="2">
        <v>45682</v>
      </c>
      <c r="C16" s="2">
        <v>45870</v>
      </c>
      <c r="D16" s="2">
        <v>46054</v>
      </c>
      <c r="F16">
        <v>-1.2350000000000001</v>
      </c>
      <c r="G16">
        <v>-1.556</v>
      </c>
    </row>
    <row r="17" spans="1:7" x14ac:dyDescent="0.2">
      <c r="A17" t="s">
        <v>34</v>
      </c>
      <c r="B17" s="2">
        <v>45682</v>
      </c>
      <c r="C17" s="2">
        <v>45870</v>
      </c>
      <c r="D17" s="2">
        <v>46054</v>
      </c>
      <c r="F17">
        <v>-1.1160000000000001</v>
      </c>
    </row>
    <row r="18" spans="1:7" x14ac:dyDescent="0.2">
      <c r="A18" t="s">
        <v>35</v>
      </c>
      <c r="B18" s="2">
        <v>45682</v>
      </c>
      <c r="C18" s="2">
        <v>45870</v>
      </c>
      <c r="D18" s="2">
        <v>46054</v>
      </c>
      <c r="F18">
        <v>-1.262</v>
      </c>
    </row>
    <row r="19" spans="1:7" x14ac:dyDescent="0.2">
      <c r="A19" t="s">
        <v>36</v>
      </c>
      <c r="B19" s="2">
        <v>45682</v>
      </c>
      <c r="C19" s="2">
        <v>45870</v>
      </c>
      <c r="D19" s="2">
        <v>46054</v>
      </c>
    </row>
    <row r="20" spans="1:7" x14ac:dyDescent="0.2">
      <c r="A20" t="s">
        <v>37</v>
      </c>
      <c r="B20" s="2">
        <v>45682</v>
      </c>
      <c r="C20" s="2">
        <v>45870</v>
      </c>
      <c r="D20" s="2">
        <v>46054</v>
      </c>
      <c r="F20">
        <v>-0.998</v>
      </c>
      <c r="G20">
        <v>-1.49</v>
      </c>
    </row>
    <row r="21" spans="1:7" x14ac:dyDescent="0.2">
      <c r="A21" t="s">
        <v>38</v>
      </c>
      <c r="B21" s="2">
        <v>45682</v>
      </c>
      <c r="C21" s="2">
        <v>45870</v>
      </c>
      <c r="D21" s="2">
        <v>46054</v>
      </c>
      <c r="E21">
        <v>-1.571</v>
      </c>
      <c r="F21">
        <v>-1.1040000000000001</v>
      </c>
      <c r="G21">
        <v>-1.542</v>
      </c>
    </row>
    <row r="22" spans="1:7" x14ac:dyDescent="0.2">
      <c r="A22" t="s">
        <v>39</v>
      </c>
      <c r="B22" s="2">
        <v>45682</v>
      </c>
      <c r="C22" s="2">
        <v>45870</v>
      </c>
      <c r="D22" s="2">
        <v>46054</v>
      </c>
      <c r="E22">
        <v>-1.6220000000000001</v>
      </c>
      <c r="F22">
        <v>-1.399</v>
      </c>
      <c r="G22">
        <v>-1.6220000000000001</v>
      </c>
    </row>
    <row r="23" spans="1:7" x14ac:dyDescent="0.2">
      <c r="A23" t="s">
        <v>40</v>
      </c>
      <c r="B23" s="2">
        <v>45682</v>
      </c>
      <c r="C23" s="2">
        <v>45870</v>
      </c>
      <c r="D23" s="2">
        <v>46054</v>
      </c>
      <c r="E23">
        <v>-1.66</v>
      </c>
      <c r="F23">
        <v>-1.4470000000000001</v>
      </c>
      <c r="G23">
        <v>-1.66</v>
      </c>
    </row>
    <row r="24" spans="1:7" x14ac:dyDescent="0.2">
      <c r="A24" t="s">
        <v>41</v>
      </c>
      <c r="B24" s="2">
        <v>45682</v>
      </c>
      <c r="C24" s="2">
        <v>45870</v>
      </c>
      <c r="D24" s="2">
        <v>46054</v>
      </c>
      <c r="E24">
        <v>-1.669</v>
      </c>
      <c r="F24">
        <v>-1.472</v>
      </c>
      <c r="G24">
        <v>-1.669</v>
      </c>
    </row>
    <row r="25" spans="1:7" x14ac:dyDescent="0.2">
      <c r="A25" t="s">
        <v>42</v>
      </c>
      <c r="B25" s="2">
        <v>45682</v>
      </c>
      <c r="C25" s="2">
        <v>45870</v>
      </c>
      <c r="D25" s="2">
        <v>46054</v>
      </c>
      <c r="E25">
        <v>-1.738</v>
      </c>
      <c r="F25">
        <v>-1.542</v>
      </c>
      <c r="G25">
        <v>-1.734</v>
      </c>
    </row>
    <row r="26" spans="1:7" x14ac:dyDescent="0.2">
      <c r="A26" t="s">
        <v>43</v>
      </c>
      <c r="B26" s="2">
        <v>45682</v>
      </c>
      <c r="C26" s="2">
        <v>45870</v>
      </c>
      <c r="D26" s="2">
        <v>46054</v>
      </c>
      <c r="G26">
        <v>-1.5529999999999999</v>
      </c>
    </row>
    <row r="27" spans="1:7" x14ac:dyDescent="0.2">
      <c r="A27" t="s">
        <v>44</v>
      </c>
      <c r="B27" s="2">
        <v>45682</v>
      </c>
      <c r="C27" s="2">
        <v>45870</v>
      </c>
      <c r="D27" s="2">
        <v>46054</v>
      </c>
      <c r="E27">
        <v>-1.6359999999999999</v>
      </c>
      <c r="F27">
        <v>-1.2849999999999999</v>
      </c>
      <c r="G27">
        <v>-1.6220000000000001</v>
      </c>
    </row>
    <row r="28" spans="1:7" x14ac:dyDescent="0.2">
      <c r="A28" t="s">
        <v>45</v>
      </c>
      <c r="B28" s="2">
        <v>45682</v>
      </c>
      <c r="C28" s="2">
        <v>45870</v>
      </c>
      <c r="D28" s="2">
        <v>46054</v>
      </c>
      <c r="E28">
        <v>-1.5740000000000001</v>
      </c>
      <c r="F28">
        <v>-1.0680000000000001</v>
      </c>
    </row>
    <row r="29" spans="1:7" x14ac:dyDescent="0.2">
      <c r="A29" t="s">
        <v>46</v>
      </c>
      <c r="B29" s="2">
        <v>45682</v>
      </c>
      <c r="C29" s="2">
        <v>45870</v>
      </c>
      <c r="D29" s="2">
        <v>46054</v>
      </c>
      <c r="E29">
        <v>-1.819</v>
      </c>
      <c r="F29">
        <v>-1.538</v>
      </c>
      <c r="G29">
        <v>-1.821</v>
      </c>
    </row>
    <row r="30" spans="1:7" x14ac:dyDescent="0.2">
      <c r="A30" t="s">
        <v>47</v>
      </c>
      <c r="B30" s="2">
        <v>45682</v>
      </c>
      <c r="C30" s="2">
        <v>45870</v>
      </c>
      <c r="D30" s="2">
        <v>46054</v>
      </c>
      <c r="G30">
        <v>-1.8080000000000001</v>
      </c>
    </row>
    <row r="31" spans="1:7" x14ac:dyDescent="0.2">
      <c r="A31" t="s">
        <v>48</v>
      </c>
      <c r="B31" s="2">
        <v>45682</v>
      </c>
      <c r="C31" s="2">
        <v>45870</v>
      </c>
      <c r="D31" s="2">
        <v>46054</v>
      </c>
      <c r="E31">
        <v>-1.708</v>
      </c>
      <c r="F31">
        <v>-1.5189999999999999</v>
      </c>
      <c r="G31">
        <v>-1.7</v>
      </c>
    </row>
    <row r="32" spans="1:7" x14ac:dyDescent="0.2">
      <c r="A32" t="s">
        <v>49</v>
      </c>
      <c r="B32" s="2">
        <v>45682</v>
      </c>
      <c r="C32" s="2">
        <v>45870</v>
      </c>
      <c r="D32" s="2">
        <v>46054</v>
      </c>
      <c r="E32">
        <v>-1.698</v>
      </c>
      <c r="F32">
        <v>-1.506</v>
      </c>
      <c r="G32">
        <v>-1.698</v>
      </c>
    </row>
    <row r="33" spans="1:7" x14ac:dyDescent="0.2">
      <c r="A33" t="s">
        <v>50</v>
      </c>
      <c r="B33" s="2">
        <v>45682</v>
      </c>
      <c r="C33" s="2">
        <v>45870</v>
      </c>
      <c r="D33" s="2">
        <v>46054</v>
      </c>
      <c r="F33">
        <v>-1.5580000000000001</v>
      </c>
      <c r="G33">
        <v>-1.698</v>
      </c>
    </row>
    <row r="34" spans="1:7" x14ac:dyDescent="0.2">
      <c r="A34" t="s">
        <v>51</v>
      </c>
      <c r="B34" s="2">
        <v>45682</v>
      </c>
      <c r="C34" s="2">
        <v>45870</v>
      </c>
      <c r="D34" s="2">
        <v>46054</v>
      </c>
      <c r="F34">
        <v>-1.415</v>
      </c>
      <c r="G34">
        <v>-1.6359999999999999</v>
      </c>
    </row>
    <row r="35" spans="1:7" x14ac:dyDescent="0.2">
      <c r="A35" t="s">
        <v>52</v>
      </c>
      <c r="B35" s="2">
        <v>45682</v>
      </c>
      <c r="C35" s="2">
        <v>45870</v>
      </c>
      <c r="D35" s="2">
        <v>46054</v>
      </c>
      <c r="F35">
        <v>-1.196</v>
      </c>
      <c r="G35">
        <v>-1.4850000000000001</v>
      </c>
    </row>
    <row r="36" spans="1:7" x14ac:dyDescent="0.2">
      <c r="A36" t="s">
        <v>53</v>
      </c>
      <c r="B36" s="2">
        <v>45682</v>
      </c>
      <c r="C36" s="2">
        <v>45870</v>
      </c>
      <c r="D36" s="2">
        <v>46054</v>
      </c>
      <c r="F36">
        <v>-1.3740000000000001</v>
      </c>
      <c r="G36">
        <v>-1.6</v>
      </c>
    </row>
    <row r="37" spans="1:7" x14ac:dyDescent="0.2">
      <c r="A37" t="s">
        <v>54</v>
      </c>
      <c r="B37" s="2">
        <v>45682</v>
      </c>
      <c r="C37" s="2">
        <v>45870</v>
      </c>
      <c r="D37" s="2">
        <v>46054</v>
      </c>
      <c r="G37">
        <v>-1.6060000000000001</v>
      </c>
    </row>
    <row r="38" spans="1:7" x14ac:dyDescent="0.2">
      <c r="A38" t="s">
        <v>55</v>
      </c>
      <c r="B38" s="2">
        <v>45682</v>
      </c>
      <c r="C38" s="2">
        <v>45870</v>
      </c>
      <c r="D38" s="2">
        <v>46054</v>
      </c>
      <c r="F38">
        <v>-1.6120000000000001</v>
      </c>
      <c r="G38">
        <v>-1.7130000000000001</v>
      </c>
    </row>
    <row r="39" spans="1:7" x14ac:dyDescent="0.2">
      <c r="A39" t="s">
        <v>56</v>
      </c>
      <c r="B39" s="2">
        <v>45682</v>
      </c>
      <c r="C39" s="2">
        <v>45870</v>
      </c>
      <c r="D39" s="2">
        <v>46054</v>
      </c>
      <c r="F39">
        <v>-1.036</v>
      </c>
      <c r="G39">
        <v>-1.4239999999999999</v>
      </c>
    </row>
    <row r="40" spans="1:7" x14ac:dyDescent="0.2">
      <c r="A40" t="s">
        <v>57</v>
      </c>
      <c r="B40" s="2">
        <v>45682</v>
      </c>
      <c r="C40" s="2">
        <v>45870</v>
      </c>
      <c r="D40" s="2">
        <v>46054</v>
      </c>
      <c r="G40">
        <v>-1.3939999999999999</v>
      </c>
    </row>
    <row r="41" spans="1:7" x14ac:dyDescent="0.2">
      <c r="A41" t="s">
        <v>58</v>
      </c>
      <c r="B41" s="2">
        <v>45682</v>
      </c>
      <c r="C41" s="2">
        <v>45870</v>
      </c>
      <c r="D41" s="2">
        <v>46054</v>
      </c>
      <c r="F41">
        <v>-2.472</v>
      </c>
      <c r="G41">
        <v>-2.6360000000000001</v>
      </c>
    </row>
    <row r="42" spans="1:7" x14ac:dyDescent="0.2">
      <c r="A42" t="s">
        <v>59</v>
      </c>
      <c r="B42" s="2">
        <v>45682</v>
      </c>
      <c r="C42" s="2">
        <v>45870</v>
      </c>
      <c r="D42" s="2">
        <v>46054</v>
      </c>
      <c r="F42">
        <v>-1.341</v>
      </c>
      <c r="G42">
        <v>-1.524</v>
      </c>
    </row>
    <row r="43" spans="1:7" x14ac:dyDescent="0.2">
      <c r="A43" t="s">
        <v>60</v>
      </c>
      <c r="B43" s="2">
        <v>45682</v>
      </c>
      <c r="C43" s="2">
        <v>45870</v>
      </c>
      <c r="D43" s="2">
        <v>46054</v>
      </c>
      <c r="G43">
        <v>-1.5209999999999999</v>
      </c>
    </row>
    <row r="44" spans="1:7" x14ac:dyDescent="0.2">
      <c r="A44" t="s">
        <v>61</v>
      </c>
      <c r="B44" s="2">
        <v>45682</v>
      </c>
      <c r="C44" s="2">
        <v>45870</v>
      </c>
      <c r="D44" s="2">
        <v>46054</v>
      </c>
      <c r="F44">
        <v>-1.395</v>
      </c>
      <c r="G44">
        <v>-1.5509999999999999</v>
      </c>
    </row>
    <row r="45" spans="1:7" x14ac:dyDescent="0.2">
      <c r="A45" t="s">
        <v>62</v>
      </c>
      <c r="B45" s="2">
        <v>45682</v>
      </c>
      <c r="C45" s="2">
        <v>45870</v>
      </c>
      <c r="D45" s="2">
        <v>46054</v>
      </c>
      <c r="F45">
        <v>-1.325</v>
      </c>
      <c r="G45">
        <v>-1.5309999999999999</v>
      </c>
    </row>
    <row r="46" spans="1:7" x14ac:dyDescent="0.2">
      <c r="A46" t="s">
        <v>63</v>
      </c>
      <c r="B46" s="2">
        <v>45682</v>
      </c>
      <c r="C46" s="2">
        <v>45870</v>
      </c>
      <c r="D46" s="2">
        <v>46054</v>
      </c>
      <c r="F46">
        <v>-1.331</v>
      </c>
      <c r="G46">
        <v>-1.5129999999999999</v>
      </c>
    </row>
    <row r="47" spans="1:7" x14ac:dyDescent="0.2">
      <c r="A47" t="s">
        <v>64</v>
      </c>
      <c r="B47" s="2">
        <v>45682</v>
      </c>
      <c r="C47" s="2">
        <v>45870</v>
      </c>
      <c r="D47" s="2">
        <v>46054</v>
      </c>
      <c r="F47">
        <v>-1.321</v>
      </c>
      <c r="G47">
        <v>-1.474</v>
      </c>
    </row>
    <row r="48" spans="1:7" x14ac:dyDescent="0.2">
      <c r="A48" t="s">
        <v>65</v>
      </c>
      <c r="B48" s="2">
        <v>45682</v>
      </c>
      <c r="C48" s="2">
        <v>45870</v>
      </c>
      <c r="D48" s="2">
        <v>46054</v>
      </c>
      <c r="F48">
        <v>-1.3140000000000001</v>
      </c>
      <c r="G48">
        <v>-1.446</v>
      </c>
    </row>
    <row r="49" spans="1:7" x14ac:dyDescent="0.2">
      <c r="A49" t="s">
        <v>66</v>
      </c>
      <c r="B49" s="2">
        <v>45682</v>
      </c>
      <c r="C49" s="2">
        <v>45870</v>
      </c>
      <c r="D49" s="2">
        <v>46054</v>
      </c>
      <c r="F49">
        <v>-1.5640000000000001</v>
      </c>
      <c r="G49">
        <v>-1.6919999999999999</v>
      </c>
    </row>
    <row r="50" spans="1:7" x14ac:dyDescent="0.2">
      <c r="A50" t="s">
        <v>67</v>
      </c>
      <c r="B50" s="2">
        <v>45682</v>
      </c>
      <c r="C50" s="2">
        <v>45870</v>
      </c>
      <c r="D50" s="2">
        <v>46054</v>
      </c>
      <c r="F50">
        <v>-1.3580000000000001</v>
      </c>
      <c r="G50">
        <v>-1.5149999999999999</v>
      </c>
    </row>
    <row r="51" spans="1:7" x14ac:dyDescent="0.2">
      <c r="A51" t="s">
        <v>68</v>
      </c>
      <c r="B51" s="2">
        <v>45682</v>
      </c>
      <c r="C51" s="2">
        <v>45870</v>
      </c>
      <c r="D51" s="2">
        <v>46054</v>
      </c>
      <c r="F51">
        <v>-1.1930000000000001</v>
      </c>
      <c r="G51">
        <v>-1.423</v>
      </c>
    </row>
    <row r="52" spans="1:7" x14ac:dyDescent="0.2">
      <c r="A52" t="s">
        <v>69</v>
      </c>
      <c r="B52" s="2">
        <v>45682</v>
      </c>
      <c r="C52" s="2">
        <v>45870</v>
      </c>
      <c r="D52" s="2">
        <v>46054</v>
      </c>
      <c r="F52">
        <v>-0.89500000000000002</v>
      </c>
      <c r="G52">
        <v>-1.17</v>
      </c>
    </row>
    <row r="53" spans="1:7" x14ac:dyDescent="0.2">
      <c r="A53" t="s">
        <v>70</v>
      </c>
      <c r="B53" s="2">
        <v>45682</v>
      </c>
      <c r="C53" s="2">
        <v>45870</v>
      </c>
      <c r="D53" s="2">
        <v>46054</v>
      </c>
      <c r="F53">
        <v>-1.1759999999999999</v>
      </c>
      <c r="G53">
        <v>-1.3220000000000001</v>
      </c>
    </row>
    <row r="54" spans="1:7" x14ac:dyDescent="0.2">
      <c r="A54" t="s">
        <v>71</v>
      </c>
      <c r="B54" s="2">
        <v>45682</v>
      </c>
      <c r="C54" s="2">
        <v>45870</v>
      </c>
      <c r="D54" s="2">
        <v>46054</v>
      </c>
      <c r="E54">
        <v>-1.901</v>
      </c>
      <c r="F54">
        <v>-1.911</v>
      </c>
      <c r="G54">
        <v>-1.92</v>
      </c>
    </row>
    <row r="55" spans="1:7" x14ac:dyDescent="0.2">
      <c r="A55" t="s">
        <v>72</v>
      </c>
      <c r="B55" s="2">
        <v>45682</v>
      </c>
      <c r="C55" s="2">
        <v>45870</v>
      </c>
      <c r="D55" s="2">
        <v>46054</v>
      </c>
      <c r="E55">
        <v>-1.8819999999999999</v>
      </c>
      <c r="F55">
        <v>-1.8859999999999999</v>
      </c>
      <c r="G55">
        <v>-1.903</v>
      </c>
    </row>
    <row r="56" spans="1:7" x14ac:dyDescent="0.2">
      <c r="A56" t="s">
        <v>73</v>
      </c>
      <c r="B56" s="2">
        <v>45682</v>
      </c>
      <c r="C56" s="2">
        <v>45870</v>
      </c>
      <c r="D56" s="2">
        <v>46054</v>
      </c>
      <c r="E56">
        <v>-1.7509999999999999</v>
      </c>
      <c r="F56">
        <v>-1.714</v>
      </c>
      <c r="G56">
        <v>-1.7649999999999999</v>
      </c>
    </row>
    <row r="57" spans="1:7" x14ac:dyDescent="0.2">
      <c r="A57" t="s">
        <v>74</v>
      </c>
      <c r="B57" s="2">
        <v>45682</v>
      </c>
      <c r="C57" s="2">
        <v>45870</v>
      </c>
      <c r="D57" s="2">
        <v>46054</v>
      </c>
      <c r="E57">
        <v>-1.5820000000000001</v>
      </c>
      <c r="F57">
        <v>-1.47</v>
      </c>
      <c r="G57">
        <v>-1.597</v>
      </c>
    </row>
    <row r="58" spans="1:7" x14ac:dyDescent="0.2">
      <c r="A58" t="s">
        <v>75</v>
      </c>
      <c r="B58" s="2">
        <v>45682</v>
      </c>
      <c r="C58" s="2">
        <v>45870</v>
      </c>
      <c r="D58" s="2">
        <v>46054</v>
      </c>
      <c r="F58">
        <v>-1.1559999999999999</v>
      </c>
      <c r="G58">
        <v>-1.3460000000000001</v>
      </c>
    </row>
    <row r="59" spans="1:7" x14ac:dyDescent="0.2">
      <c r="A59" t="s">
        <v>76</v>
      </c>
      <c r="B59" s="2">
        <v>45682</v>
      </c>
      <c r="C59" s="2">
        <v>45870</v>
      </c>
      <c r="D59" s="2">
        <v>46054</v>
      </c>
      <c r="F59">
        <v>-1.2250000000000001</v>
      </c>
      <c r="G59">
        <v>-1.3680000000000001</v>
      </c>
    </row>
    <row r="60" spans="1:7" x14ac:dyDescent="0.2">
      <c r="A60" t="s">
        <v>77</v>
      </c>
      <c r="B60" s="2">
        <v>45682</v>
      </c>
      <c r="C60" s="2">
        <v>45870</v>
      </c>
      <c r="D60" s="2">
        <v>46054</v>
      </c>
      <c r="G60">
        <v>-1.6140000000000001</v>
      </c>
    </row>
    <row r="61" spans="1:7" x14ac:dyDescent="0.2">
      <c r="A61" t="s">
        <v>78</v>
      </c>
      <c r="B61" s="2">
        <v>45682</v>
      </c>
      <c r="C61" s="2">
        <v>45870</v>
      </c>
      <c r="D61" s="2">
        <v>46054</v>
      </c>
      <c r="G61">
        <v>-1.5640000000000001</v>
      </c>
    </row>
    <row r="62" spans="1:7" x14ac:dyDescent="0.2">
      <c r="A62" t="s">
        <v>79</v>
      </c>
      <c r="B62" s="2">
        <v>45682</v>
      </c>
      <c r="C62" s="2">
        <v>45870</v>
      </c>
      <c r="D62" s="2">
        <v>46054</v>
      </c>
      <c r="F62">
        <v>-1.2509999999999999</v>
      </c>
      <c r="G62">
        <v>-1.431</v>
      </c>
    </row>
    <row r="63" spans="1:7" x14ac:dyDescent="0.2">
      <c r="A63" t="s">
        <v>80</v>
      </c>
      <c r="B63" s="2">
        <v>45682</v>
      </c>
      <c r="C63" s="2">
        <v>45870</v>
      </c>
      <c r="D63" s="2">
        <v>46054</v>
      </c>
      <c r="G63">
        <v>-1.284</v>
      </c>
    </row>
    <row r="64" spans="1:7" x14ac:dyDescent="0.2">
      <c r="A64" t="s">
        <v>81</v>
      </c>
      <c r="B64" s="2">
        <v>45682</v>
      </c>
      <c r="C64" s="2">
        <v>45870</v>
      </c>
      <c r="D64" s="2">
        <v>46054</v>
      </c>
      <c r="F64">
        <v>-0.88600000000000001</v>
      </c>
      <c r="G64">
        <v>-1.1819999999999999</v>
      </c>
    </row>
    <row r="65" spans="1:7" x14ac:dyDescent="0.2">
      <c r="A65" t="s">
        <v>82</v>
      </c>
      <c r="B65" s="2">
        <v>45682</v>
      </c>
      <c r="C65" s="2">
        <v>45870</v>
      </c>
      <c r="D65" s="2">
        <v>46054</v>
      </c>
      <c r="F65">
        <v>-0.93300000000000005</v>
      </c>
      <c r="G65">
        <v>-1.1859999999999999</v>
      </c>
    </row>
    <row r="66" spans="1:7" x14ac:dyDescent="0.2">
      <c r="A66" t="s">
        <v>83</v>
      </c>
      <c r="B66" s="2">
        <v>45682</v>
      </c>
      <c r="C66" s="2">
        <v>45870</v>
      </c>
      <c r="D66" s="2">
        <v>46054</v>
      </c>
      <c r="F66">
        <v>-1.2070000000000001</v>
      </c>
      <c r="G66">
        <v>-1.3720000000000001</v>
      </c>
    </row>
    <row r="67" spans="1:7" x14ac:dyDescent="0.2">
      <c r="A67" t="s">
        <v>88</v>
      </c>
      <c r="B67" s="2">
        <v>45682</v>
      </c>
      <c r="C67" s="2">
        <v>45870</v>
      </c>
      <c r="D67" s="2">
        <v>46054</v>
      </c>
      <c r="G67">
        <v>-1.86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2EFF2-13EC-F842-8DF0-C6F8E64FF8D5}">
  <dimension ref="A1:J6"/>
  <sheetViews>
    <sheetView tabSelected="1" workbookViewId="0">
      <selection activeCell="A7" sqref="A7"/>
    </sheetView>
  </sheetViews>
  <sheetFormatPr baseColWidth="10" defaultRowHeight="16" x14ac:dyDescent="0.2"/>
  <sheetData>
    <row r="1" spans="1:10" x14ac:dyDescent="0.2">
      <c r="A1" t="s">
        <v>91</v>
      </c>
      <c r="B1" t="s">
        <v>92</v>
      </c>
      <c r="C1" t="s">
        <v>98</v>
      </c>
      <c r="D1" t="s">
        <v>99</v>
      </c>
      <c r="E1" t="s">
        <v>100</v>
      </c>
      <c r="F1" t="s">
        <v>114</v>
      </c>
      <c r="G1" t="s">
        <v>101</v>
      </c>
      <c r="H1" t="s">
        <v>97</v>
      </c>
      <c r="I1" t="s">
        <v>102</v>
      </c>
      <c r="J1" t="s">
        <v>108</v>
      </c>
    </row>
    <row r="2" spans="1:10" x14ac:dyDescent="0.2">
      <c r="A2">
        <v>0</v>
      </c>
      <c r="B2">
        <f>A3</f>
        <v>-4</v>
      </c>
      <c r="C2">
        <f>A2-B2</f>
        <v>4</v>
      </c>
      <c r="D2">
        <v>0.2</v>
      </c>
      <c r="E2">
        <v>0.02</v>
      </c>
      <c r="F2">
        <f>C2*D2</f>
        <v>0.8</v>
      </c>
      <c r="G2">
        <f>C2/E2</f>
        <v>200</v>
      </c>
      <c r="H2" t="s">
        <v>93</v>
      </c>
      <c r="I2" t="s">
        <v>103</v>
      </c>
      <c r="J2" t="s">
        <v>109</v>
      </c>
    </row>
    <row r="3" spans="1:10" x14ac:dyDescent="0.2">
      <c r="A3">
        <v>-4</v>
      </c>
      <c r="B3">
        <f t="shared" ref="B3:B5" si="0">A4</f>
        <v>-8</v>
      </c>
      <c r="C3">
        <f t="shared" ref="C3:C6" si="1">A3-B3</f>
        <v>4</v>
      </c>
      <c r="D3">
        <v>1</v>
      </c>
      <c r="E3">
        <v>5.0000000000000001E-3</v>
      </c>
      <c r="F3">
        <f t="shared" ref="F3:F6" si="2">C3*D3</f>
        <v>4</v>
      </c>
      <c r="G3">
        <f t="shared" ref="G3:G6" si="3">C3/E3</f>
        <v>800</v>
      </c>
      <c r="H3" t="s">
        <v>93</v>
      </c>
      <c r="I3" t="s">
        <v>106</v>
      </c>
      <c r="J3" t="s">
        <v>110</v>
      </c>
    </row>
    <row r="4" spans="1:10" x14ac:dyDescent="0.2">
      <c r="A4">
        <v>-8</v>
      </c>
      <c r="B4">
        <f t="shared" si="0"/>
        <v>-50</v>
      </c>
      <c r="C4">
        <f t="shared" si="1"/>
        <v>42</v>
      </c>
      <c r="D4">
        <v>15</v>
      </c>
      <c r="E4">
        <v>1.5</v>
      </c>
      <c r="F4">
        <f t="shared" si="2"/>
        <v>630</v>
      </c>
      <c r="G4">
        <f t="shared" si="3"/>
        <v>28</v>
      </c>
      <c r="H4" t="s">
        <v>94</v>
      </c>
      <c r="I4" t="s">
        <v>104</v>
      </c>
      <c r="J4" t="s">
        <v>111</v>
      </c>
    </row>
    <row r="5" spans="1:10" x14ac:dyDescent="0.2">
      <c r="A5">
        <v>-50</v>
      </c>
      <c r="B5">
        <f t="shared" si="0"/>
        <v>-55</v>
      </c>
      <c r="C5">
        <f t="shared" si="1"/>
        <v>5</v>
      </c>
      <c r="D5">
        <v>0.2</v>
      </c>
      <c r="E5">
        <v>0.2</v>
      </c>
      <c r="F5">
        <f t="shared" si="2"/>
        <v>1</v>
      </c>
      <c r="G5">
        <f t="shared" si="3"/>
        <v>25</v>
      </c>
      <c r="H5" t="s">
        <v>95</v>
      </c>
      <c r="I5" t="s">
        <v>105</v>
      </c>
      <c r="J5" t="s">
        <v>112</v>
      </c>
    </row>
    <row r="6" spans="1:10" x14ac:dyDescent="0.2">
      <c r="A6">
        <v>-55</v>
      </c>
      <c r="B6">
        <v>-150</v>
      </c>
      <c r="C6">
        <f t="shared" si="1"/>
        <v>95</v>
      </c>
      <c r="D6">
        <v>30</v>
      </c>
      <c r="E6">
        <v>10</v>
      </c>
      <c r="F6">
        <f t="shared" si="2"/>
        <v>2850</v>
      </c>
      <c r="G6">
        <f t="shared" si="3"/>
        <v>9.5</v>
      </c>
      <c r="H6" t="s">
        <v>96</v>
      </c>
      <c r="I6" t="s">
        <v>107</v>
      </c>
      <c r="J6" t="s">
        <v>113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pbTauw</vt:lpstr>
      <vt:lpstr>pbKanaal</vt:lpstr>
      <vt:lpstr>joined</vt:lpstr>
      <vt:lpstr>Sheet2</vt:lpstr>
      <vt:lpstr>laagopbouw</vt:lpstr>
      <vt:lpstr>yyy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Theo Olsthoorn</dc:creator>
  <cp:lastModifiedBy>Theo Olsthoorn</cp:lastModifiedBy>
  <dcterms:created xsi:type="dcterms:W3CDTF">2026-05-31T21:25:10Z</dcterms:created>
  <dcterms:modified xsi:type="dcterms:W3CDTF">2026-06-03T15:47:16Z</dcterms:modified>
</cp:coreProperties>
</file>