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252E008C-0376-394C-9D28-269286B5CCC2}" xr6:coauthVersionLast="47" xr6:coauthVersionMax="47" xr10:uidLastSave="{00000000-0000-0000-0000-000000000000}"/>
  <bookViews>
    <workbookView xWindow="8460" yWindow="1180" windowWidth="25340" windowHeight="20720" activeTab="1" xr2:uid="{E4383F88-647D-C347-BE79-FF24D0CA7E92}"/>
  </bookViews>
  <sheets>
    <sheet name="pbTauw" sheetId="1" r:id="rId1"/>
    <sheet name="pbKanaal" sheetId="3" r:id="rId2"/>
    <sheet name="Sheet2" sheetId="4" r:id="rId3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4" i="3" l="1"/>
  <c r="N5" i="3"/>
  <c r="N6" i="3"/>
  <c r="N7" i="3"/>
  <c r="N8" i="3"/>
  <c r="N9" i="3"/>
  <c r="N10" i="3"/>
  <c r="N11" i="3"/>
  <c r="N3" i="3"/>
  <c r="N2" i="3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sharedStrings.xml><?xml version="1.0" encoding="utf-8"?>
<sst xmlns="http://schemas.openxmlformats.org/spreadsheetml/2006/main" count="115" uniqueCount="89">
  <si>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</si>
  <si>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</si>
  <si>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</si>
  <si>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</si>
  <si>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</si>
  <si>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</si>
  <si>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</si>
  <si>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</si>
  <si>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</si>
  <si>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</si>
  <si>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</si>
  <si>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</si>
  <si>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</si>
  <si>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</si>
  <si>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</si>
  <si>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onzeker_bk_laag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</si>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</sst>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14</xdr:col>
      <xdr:colOff>533400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N78"/>
  <sheetViews>
    <sheetView workbookViewId="0">
      <selection activeCell="L1" sqref="L1:N3"/>
    </sheetView>
  </sheetViews>
  <sheetFormatPr baseColWidth="10" defaultRowHeight="16" x14ac:dyDescent="0.2"/>
  <cols>
    <col min="12" max="14" width="12.6640625" bestFit="1" customWidth="1"/>
  </cols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</row>
    <row r="2" spans="1:14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>VLOOKUP("Pb"&amp;$A2,yyy,5,FALSE)</f>
        <v>0</v>
      </c>
      <c r="M2">
        <f>VLOOKUP("Pb"&amp;$A2,yyy,6,FALSE)</f>
        <v>-1.6919999999999999</v>
      </c>
      <c r="N2">
        <f>VLOOKUP("Pb"&amp;$A2,yyy,7,FALSE)</f>
        <v>-1.78</v>
      </c>
    </row>
    <row r="3" spans="1:14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0">IF(H3&gt;0,"W","E")</f>
        <v>E</v>
      </c>
      <c r="L3">
        <f>VLOOKUP("Pb"&amp;$A3,yyy,5,FALSE)</f>
        <v>0</v>
      </c>
      <c r="M3">
        <f>VLOOKUP("Pb"&amp;$A3,yyy,6,FALSE)</f>
        <v>-1.7390000000000001</v>
      </c>
      <c r="N3">
        <f>VLOOKUP("Pb"&amp;$A3,yyy,7,FALSE)</f>
        <v>-1.841</v>
      </c>
    </row>
    <row r="4" spans="1:14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0"/>
        <v>W</v>
      </c>
      <c r="L4">
        <f>VLOOKUP("Pb"&amp;$A4,yyy,5,FALSE)</f>
        <v>0</v>
      </c>
      <c r="M4">
        <f>VLOOKUP("Pb"&amp;$A4,yyy,6,FALSE)</f>
        <v>-1.4810000000000001</v>
      </c>
      <c r="N4">
        <f>VLOOKUP("Pb"&amp;$A4,yyy,7,FALSE)</f>
        <v>-1.6839999999999999</v>
      </c>
    </row>
    <row r="5" spans="1:14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0"/>
        <v>E</v>
      </c>
      <c r="L5">
        <f>VLOOKUP("Pb"&amp;$A5,yyy,5,FALSE)</f>
        <v>0</v>
      </c>
      <c r="M5">
        <f>VLOOKUP("Pb"&amp;$A5,yyy,6,FALSE)</f>
        <v>-1.49</v>
      </c>
      <c r="N5">
        <f>VLOOKUP("Pb"&amp;$A5,yyy,7,FALSE)</f>
        <v>-1.7</v>
      </c>
    </row>
    <row r="6" spans="1:14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0"/>
        <v>W</v>
      </c>
      <c r="L6">
        <f>VLOOKUP("Pb"&amp;$A6,yyy,5,FALSE)</f>
        <v>0</v>
      </c>
      <c r="M6">
        <f>VLOOKUP("Pb"&amp;$A6,yyy,6,FALSE)</f>
        <v>0</v>
      </c>
      <c r="N6">
        <f>VLOOKUP("Pb"&amp;$A6,yyy,7,FALSE)</f>
        <v>-1.6539999999999999</v>
      </c>
    </row>
    <row r="7" spans="1:14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0"/>
        <v>W</v>
      </c>
      <c r="L7">
        <f>VLOOKUP("Pb"&amp;$A7,yyy,5,FALSE)</f>
        <v>0</v>
      </c>
      <c r="M7">
        <f>VLOOKUP("Pb"&amp;$A7,yyy,6,FALSE)</f>
        <v>-1.2350000000000001</v>
      </c>
      <c r="N7">
        <f>VLOOKUP("Pb"&amp;$A7,yyy,7,FALSE)</f>
        <v>-1.556</v>
      </c>
    </row>
    <row r="8" spans="1:14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0"/>
        <v>E</v>
      </c>
      <c r="L8">
        <f>VLOOKUP("Pb"&amp;$A8,yyy,5,FALSE)</f>
        <v>0</v>
      </c>
      <c r="M8">
        <f>VLOOKUP("Pb"&amp;$A8,yyy,6,FALSE)</f>
        <v>-1.1160000000000001</v>
      </c>
      <c r="N8">
        <f>VLOOKUP("Pb"&amp;$A8,yyy,7,FALSE)</f>
        <v>0</v>
      </c>
    </row>
    <row r="9" spans="1:14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0"/>
        <v>E</v>
      </c>
      <c r="L9">
        <f>VLOOKUP("Pb"&amp;$A9,yyy,5,FALSE)</f>
        <v>0</v>
      </c>
      <c r="M9">
        <f>VLOOKUP("Pb"&amp;$A9,yyy,6,FALSE)</f>
        <v>-1.262</v>
      </c>
      <c r="N9">
        <f>VLOOKUP("Pb"&amp;$A9,yyy,7,FALSE)</f>
        <v>0</v>
      </c>
    </row>
    <row r="10" spans="1:14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0"/>
        <v>W</v>
      </c>
      <c r="L10" t="e">
        <f>VLOOKUP("Pb"&amp;$A10,yyy,5,FALSE)</f>
        <v>#N/A</v>
      </c>
      <c r="M10" t="e">
        <f>VLOOKUP("Pb"&amp;$A10,yyy,6,FALSE)</f>
        <v>#N/A</v>
      </c>
      <c r="N10" t="e">
        <f>VLOOKUP("Pb"&amp;$A10,yyy,7,FALSE)</f>
        <v>#N/A</v>
      </c>
    </row>
    <row r="11" spans="1:14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0"/>
        <v>W</v>
      </c>
      <c r="L11">
        <f>VLOOKUP("Pb"&amp;$A11,yyy,5,FALSE)</f>
        <v>0</v>
      </c>
      <c r="M11">
        <f>VLOOKUP("Pb"&amp;$A11,yyy,6,FALSE)</f>
        <v>0</v>
      </c>
      <c r="N11">
        <f>VLOOKUP("Pb"&amp;$A11,yyy,7,FALSE)</f>
        <v>0</v>
      </c>
    </row>
    <row r="12" spans="1:14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0"/>
        <v>W</v>
      </c>
      <c r="L12" t="e">
        <f>VLOOKUP("Pb"&amp;$A12,yyy,5,FALSE)</f>
        <v>#N/A</v>
      </c>
      <c r="M12" t="e">
        <f>VLOOKUP("Pb"&amp;$A12,yyy,6,FALSE)</f>
        <v>#N/A</v>
      </c>
      <c r="N12" t="e">
        <f>VLOOKUP("Pb"&amp;$A12,yyy,7,FALSE)</f>
        <v>#N/A</v>
      </c>
    </row>
    <row r="13" spans="1:14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0"/>
        <v>W</v>
      </c>
      <c r="L13" t="e">
        <f>VLOOKUP("Pb"&amp;$A13,yyy,5,FALSE)</f>
        <v>#N/A</v>
      </c>
      <c r="M13" t="e">
        <f>VLOOKUP("Pb"&amp;$A13,yyy,6,FALSE)</f>
        <v>#N/A</v>
      </c>
      <c r="N13" t="e">
        <f>VLOOKUP("Pb"&amp;$A13,yyy,7,FALSE)</f>
        <v>#N/A</v>
      </c>
    </row>
    <row r="14" spans="1:14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0"/>
        <v>W</v>
      </c>
      <c r="L14" t="e">
        <f>VLOOKUP("Pb"&amp;$A14,yyy,5,FALSE)</f>
        <v>#N/A</v>
      </c>
      <c r="M14" t="e">
        <f>VLOOKUP("Pb"&amp;$A14,yyy,6,FALSE)</f>
        <v>#N/A</v>
      </c>
      <c r="N14" t="e">
        <f>VLOOKUP("Pb"&amp;$A14,yyy,7,FALSE)</f>
        <v>#N/A</v>
      </c>
    </row>
    <row r="15" spans="1:14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0"/>
        <v>W</v>
      </c>
      <c r="L15" t="e">
        <f>VLOOKUP("Pb"&amp;$A15,yyy,5,FALSE)</f>
        <v>#N/A</v>
      </c>
      <c r="M15" t="e">
        <f>VLOOKUP("Pb"&amp;$A15,yyy,6,FALSE)</f>
        <v>#N/A</v>
      </c>
      <c r="N15" t="e">
        <f>VLOOKUP("Pb"&amp;$A15,yyy,7,FALSE)</f>
        <v>#N/A</v>
      </c>
    </row>
    <row r="16" spans="1:14" x14ac:dyDescent="0.2">
      <c r="A16">
        <v>406</v>
      </c>
      <c r="B16">
        <v>129699</v>
      </c>
      <c r="C16">
        <v>475345.8</v>
      </c>
      <c r="D16">
        <v>4</v>
      </c>
      <c r="E16">
        <v>47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0"/>
        <v>W</v>
      </c>
      <c r="L16">
        <f>VLOOKUP("Pb"&amp;$A16,yyy,5,FALSE)</f>
        <v>0</v>
      </c>
      <c r="M16">
        <f>VLOOKUP("Pb"&amp;$A16,yyy,6,FALSE)</f>
        <v>-0.998</v>
      </c>
      <c r="N16">
        <f>VLOOKUP("Pb"&amp;$A16,yyy,7,FALSE)</f>
        <v>-1.49</v>
      </c>
    </row>
    <row r="17" spans="1:14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0"/>
        <v>E</v>
      </c>
      <c r="L17">
        <f>VLOOKUP("Pb"&amp;$A17,yyy,5,FALSE)</f>
        <v>-1.571</v>
      </c>
      <c r="M17">
        <f>VLOOKUP("Pb"&amp;$A17,yyy,6,FALSE)</f>
        <v>-1.1040000000000001</v>
      </c>
      <c r="N17">
        <f>VLOOKUP("Pb"&amp;$A17,yyy,7,FALSE)</f>
        <v>-1.542</v>
      </c>
    </row>
    <row r="18" spans="1:14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0"/>
        <v>E</v>
      </c>
      <c r="L18" t="e">
        <f>VLOOKUP("Pb"&amp;$A18,yyy,5,FALSE)</f>
        <v>#N/A</v>
      </c>
      <c r="M18" t="e">
        <f>VLOOKUP("Pb"&amp;$A18,yyy,6,FALSE)</f>
        <v>#N/A</v>
      </c>
      <c r="N18" t="e">
        <f>VLOOKUP("Pb"&amp;$A18,yyy,7,FALSE)</f>
        <v>#N/A</v>
      </c>
    </row>
    <row r="19" spans="1:14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0"/>
        <v>E</v>
      </c>
      <c r="L19" t="e">
        <f>VLOOKUP("Pb"&amp;$A19,yyy,5,FALSE)</f>
        <v>#N/A</v>
      </c>
      <c r="M19" t="e">
        <f>VLOOKUP("Pb"&amp;$A19,yyy,6,FALSE)</f>
        <v>#N/A</v>
      </c>
      <c r="N19" t="e">
        <f>VLOOKUP("Pb"&amp;$A19,yyy,7,FALSE)</f>
        <v>#N/A</v>
      </c>
    </row>
    <row r="20" spans="1:14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0"/>
        <v>E</v>
      </c>
      <c r="L20">
        <f>VLOOKUP("Pb"&amp;$A20,yyy,5,FALSE)</f>
        <v>-1.6220000000000001</v>
      </c>
      <c r="M20">
        <f>VLOOKUP("Pb"&amp;$A20,yyy,6,FALSE)</f>
        <v>-1.399</v>
      </c>
      <c r="N20">
        <f>VLOOKUP("Pb"&amp;$A20,yyy,7,FALSE)</f>
        <v>-1.6220000000000001</v>
      </c>
    </row>
    <row r="21" spans="1:14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1">IF(H21&gt;0,"W","E")</f>
        <v>E</v>
      </c>
      <c r="L21">
        <f>VLOOKUP("Pb"&amp;$A21,yyy,5,FALSE)</f>
        <v>-1.66</v>
      </c>
      <c r="M21">
        <f>VLOOKUP("Pb"&amp;$A21,yyy,6,FALSE)</f>
        <v>-1.4470000000000001</v>
      </c>
      <c r="N21">
        <f>VLOOKUP("Pb"&amp;$A21,yyy,7,FALSE)</f>
        <v>-1.66</v>
      </c>
    </row>
    <row r="22" spans="1:14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0"/>
        <v>E</v>
      </c>
      <c r="L22">
        <f>VLOOKUP("Pb"&amp;$A22,yyy,5,FALSE)</f>
        <v>-1.669</v>
      </c>
      <c r="M22">
        <f>VLOOKUP("Pb"&amp;$A22,yyy,6,FALSE)</f>
        <v>-1.472</v>
      </c>
      <c r="N22">
        <f>VLOOKUP("Pb"&amp;$A22,yyy,7,FALSE)</f>
        <v>-1.669</v>
      </c>
    </row>
    <row r="23" spans="1:14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0"/>
        <v>W</v>
      </c>
      <c r="L23" t="e">
        <f>VLOOKUP("Pb"&amp;$A23,yyy,5,FALSE)</f>
        <v>#N/A</v>
      </c>
      <c r="M23" t="e">
        <f>VLOOKUP("Pb"&amp;$A23,yyy,6,FALSE)</f>
        <v>#N/A</v>
      </c>
      <c r="N23" t="e">
        <f>VLOOKUP("Pb"&amp;$A23,yyy,7,FALSE)</f>
        <v>#N/A</v>
      </c>
    </row>
    <row r="24" spans="1:14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0"/>
        <v>W</v>
      </c>
      <c r="L24" t="e">
        <f>VLOOKUP("Pb"&amp;$A24,yyy,5,FALSE)</f>
        <v>#N/A</v>
      </c>
      <c r="M24" t="e">
        <f>VLOOKUP("Pb"&amp;$A24,yyy,6,FALSE)</f>
        <v>#N/A</v>
      </c>
      <c r="N24" t="e">
        <f>VLOOKUP("Pb"&amp;$A24,yyy,7,FALSE)</f>
        <v>#N/A</v>
      </c>
    </row>
    <row r="25" spans="1:14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0"/>
        <v>W</v>
      </c>
      <c r="L25">
        <f>VLOOKUP("Pb"&amp;$A25,yyy,5,FALSE)</f>
        <v>-1.738</v>
      </c>
      <c r="M25">
        <f>VLOOKUP("Pb"&amp;$A25,yyy,6,FALSE)</f>
        <v>-1.542</v>
      </c>
      <c r="N25">
        <f>VLOOKUP("Pb"&amp;$A25,yyy,7,FALSE)</f>
        <v>-1.734</v>
      </c>
    </row>
    <row r="26" spans="1:14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0"/>
        <v>W</v>
      </c>
      <c r="L26">
        <f>VLOOKUP("Pb"&amp;$A26,yyy,5,FALSE)</f>
        <v>0</v>
      </c>
      <c r="M26">
        <f>VLOOKUP("Pb"&amp;$A26,yyy,6,FALSE)</f>
        <v>0</v>
      </c>
      <c r="N26">
        <f>VLOOKUP("Pb"&amp;$A26,yyy,7,FALSE)</f>
        <v>-1.5529999999999999</v>
      </c>
    </row>
    <row r="27" spans="1:14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0"/>
        <v>W</v>
      </c>
      <c r="L27">
        <f>VLOOKUP("Pb"&amp;$A27,yyy,5,FALSE)</f>
        <v>-1.6359999999999999</v>
      </c>
      <c r="M27">
        <f>VLOOKUP("Pb"&amp;$A27,yyy,6,FALSE)</f>
        <v>-1.2849999999999999</v>
      </c>
      <c r="N27">
        <f>VLOOKUP("Pb"&amp;$A27,yyy,7,FALSE)</f>
        <v>-1.6220000000000001</v>
      </c>
    </row>
    <row r="28" spans="1:14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0"/>
        <v>W</v>
      </c>
      <c r="L28">
        <f>VLOOKUP("Pb"&amp;$A28,yyy,5,FALSE)</f>
        <v>-1.5740000000000001</v>
      </c>
      <c r="M28">
        <f>VLOOKUP("Pb"&amp;$A28,yyy,6,FALSE)</f>
        <v>-1.0680000000000001</v>
      </c>
      <c r="N28">
        <f>VLOOKUP("Pb"&amp;$A28,yyy,7,FALSE)</f>
        <v>0</v>
      </c>
    </row>
    <row r="29" spans="1:14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0"/>
        <v>E</v>
      </c>
      <c r="L29" t="e">
        <f>VLOOKUP("Pb"&amp;$A29,yyy,5,FALSE)</f>
        <v>#N/A</v>
      </c>
      <c r="M29" t="e">
        <f>VLOOKUP("Pb"&amp;$A29,yyy,6,FALSE)</f>
        <v>#N/A</v>
      </c>
      <c r="N29" t="e">
        <f>VLOOKUP("Pb"&amp;$A29,yyy,7,FALSE)</f>
        <v>#N/A</v>
      </c>
    </row>
    <row r="30" spans="1:14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0"/>
        <v>E</v>
      </c>
      <c r="L30">
        <f>VLOOKUP("Pb"&amp;$A30,yyy,5,FALSE)</f>
        <v>-1.819</v>
      </c>
      <c r="M30">
        <f>VLOOKUP("Pb"&amp;$A30,yyy,6,FALSE)</f>
        <v>-1.538</v>
      </c>
      <c r="N30">
        <f>VLOOKUP("Pb"&amp;$A30,yyy,7,FALSE)</f>
        <v>-1.821</v>
      </c>
    </row>
    <row r="31" spans="1:14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0"/>
        <v>E</v>
      </c>
      <c r="L31">
        <f>VLOOKUP("Pb"&amp;$A31,yyy,5,FALSE)</f>
        <v>0</v>
      </c>
      <c r="M31">
        <f>VLOOKUP("Pb"&amp;$A31,yyy,6,FALSE)</f>
        <v>0</v>
      </c>
      <c r="N31">
        <f>VLOOKUP("Pb"&amp;$A31,yyy,7,FALSE)</f>
        <v>-1.8080000000000001</v>
      </c>
    </row>
    <row r="32" spans="1:14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0"/>
        <v>E</v>
      </c>
      <c r="L32">
        <f>VLOOKUP("Pb"&amp;$A32,yyy,5,FALSE)</f>
        <v>-1.708</v>
      </c>
      <c r="M32">
        <f>VLOOKUP("Pb"&amp;$A32,yyy,6,FALSE)</f>
        <v>-1.5189999999999999</v>
      </c>
      <c r="N32">
        <f>VLOOKUP("Pb"&amp;$A32,yyy,7,FALSE)</f>
        <v>-1.7</v>
      </c>
    </row>
    <row r="33" spans="1:14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2">IF(H33&gt;0,"W","E")</f>
        <v>E</v>
      </c>
      <c r="L33">
        <f>VLOOKUP("Pb"&amp;$A33,yyy,5,FALSE)</f>
        <v>-1.698</v>
      </c>
      <c r="M33">
        <f>VLOOKUP("Pb"&amp;$A33,yyy,6,FALSE)</f>
        <v>-1.506</v>
      </c>
      <c r="N33">
        <f>VLOOKUP("Pb"&amp;$A33,yyy,7,FALSE)</f>
        <v>-1.698</v>
      </c>
    </row>
    <row r="34" spans="1:14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0"/>
        <v>E</v>
      </c>
      <c r="L34" t="e">
        <f>VLOOKUP("Pb"&amp;$A34,yyy,5,FALSE)</f>
        <v>#N/A</v>
      </c>
      <c r="M34" t="e">
        <f>VLOOKUP("Pb"&amp;$A34,yyy,6,FALSE)</f>
        <v>#N/A</v>
      </c>
      <c r="N34" t="e">
        <f>VLOOKUP("Pb"&amp;$A34,yyy,7,FALSE)</f>
        <v>#N/A</v>
      </c>
    </row>
    <row r="35" spans="1:14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0"/>
        <v>W</v>
      </c>
      <c r="L35">
        <f>VLOOKUP("Pb"&amp;$A35,yyy,5,FALSE)</f>
        <v>0</v>
      </c>
      <c r="M35">
        <f>VLOOKUP("Pb"&amp;$A35,yyy,6,FALSE)</f>
        <v>-1.5580000000000001</v>
      </c>
      <c r="N35">
        <f>VLOOKUP("Pb"&amp;$A35,yyy,7,FALSE)</f>
        <v>-1.698</v>
      </c>
    </row>
    <row r="36" spans="1:14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0"/>
        <v>W</v>
      </c>
      <c r="L36">
        <f>VLOOKUP("Pb"&amp;$A36,yyy,5,FALSE)</f>
        <v>0</v>
      </c>
      <c r="M36">
        <f>VLOOKUP("Pb"&amp;$A36,yyy,6,FALSE)</f>
        <v>-1.415</v>
      </c>
      <c r="N36">
        <f>VLOOKUP("Pb"&amp;$A36,yyy,7,FALSE)</f>
        <v>-1.6359999999999999</v>
      </c>
    </row>
    <row r="37" spans="1:14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0"/>
        <v>W</v>
      </c>
      <c r="L37">
        <f>VLOOKUP("Pb"&amp;$A37,yyy,5,FALSE)</f>
        <v>0</v>
      </c>
      <c r="M37">
        <f>VLOOKUP("Pb"&amp;$A37,yyy,6,FALSE)</f>
        <v>-1.196</v>
      </c>
      <c r="N37">
        <f>VLOOKUP("Pb"&amp;$A37,yyy,7,FALSE)</f>
        <v>-1.4850000000000001</v>
      </c>
    </row>
    <row r="38" spans="1:14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0"/>
        <v>E</v>
      </c>
      <c r="L38" t="e">
        <f>VLOOKUP("Pb"&amp;$A38,yyy,5,FALSE)</f>
        <v>#N/A</v>
      </c>
      <c r="M38" t="e">
        <f>VLOOKUP("Pb"&amp;$A38,yyy,6,FALSE)</f>
        <v>#N/A</v>
      </c>
      <c r="N38" t="e">
        <f>VLOOKUP("Pb"&amp;$A38,yyy,7,FALSE)</f>
        <v>#N/A</v>
      </c>
    </row>
    <row r="39" spans="1:14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0"/>
        <v>E</v>
      </c>
      <c r="L39">
        <f>VLOOKUP("Pb"&amp;$A39,yyy,5,FALSE)</f>
        <v>0</v>
      </c>
      <c r="M39">
        <f>VLOOKUP("Pb"&amp;$A39,yyy,6,FALSE)</f>
        <v>-1.3740000000000001</v>
      </c>
      <c r="N39">
        <f>VLOOKUP("Pb"&amp;$A39,yyy,7,FALSE)</f>
        <v>-1.6</v>
      </c>
    </row>
    <row r="40" spans="1:14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0"/>
        <v>E</v>
      </c>
      <c r="L40">
        <f>VLOOKUP("Pb"&amp;$A40,yyy,5,FALSE)</f>
        <v>0</v>
      </c>
      <c r="M40">
        <f>VLOOKUP("Pb"&amp;$A40,yyy,6,FALSE)</f>
        <v>0</v>
      </c>
      <c r="N40">
        <f>VLOOKUP("Pb"&amp;$A40,yyy,7,FALSE)</f>
        <v>-1.6060000000000001</v>
      </c>
    </row>
    <row r="41" spans="1:14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0"/>
        <v>W</v>
      </c>
      <c r="L41">
        <f>VLOOKUP("Pb"&amp;$A41,yyy,5,FALSE)</f>
        <v>0</v>
      </c>
      <c r="M41">
        <f>VLOOKUP("Pb"&amp;$A41,yyy,6,FALSE)</f>
        <v>-1.6120000000000001</v>
      </c>
      <c r="N41">
        <f>VLOOKUP("Pb"&amp;$A41,yyy,7,FALSE)</f>
        <v>-1.7130000000000001</v>
      </c>
    </row>
    <row r="42" spans="1:14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0"/>
        <v>W</v>
      </c>
      <c r="L42">
        <f>VLOOKUP("Pb"&amp;$A42,yyy,5,FALSE)</f>
        <v>0</v>
      </c>
      <c r="M42">
        <f>VLOOKUP("Pb"&amp;$A42,yyy,6,FALSE)</f>
        <v>-1.036</v>
      </c>
      <c r="N42">
        <f>VLOOKUP("Pb"&amp;$A42,yyy,7,FALSE)</f>
        <v>-1.4239999999999999</v>
      </c>
    </row>
    <row r="43" spans="1:14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0"/>
        <v>E</v>
      </c>
      <c r="L43">
        <f>VLOOKUP("Pb"&amp;$A43,yyy,5,FALSE)</f>
        <v>0</v>
      </c>
      <c r="M43">
        <f>VLOOKUP("Pb"&amp;$A43,yyy,6,FALSE)</f>
        <v>0</v>
      </c>
      <c r="N43">
        <f>VLOOKUP("Pb"&amp;$A43,yyy,7,FALSE)</f>
        <v>-1.3939999999999999</v>
      </c>
    </row>
    <row r="44" spans="1:14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0"/>
        <v>E</v>
      </c>
      <c r="L44" t="e">
        <f>VLOOKUP("Pb"&amp;$A44,yyy,5,FALSE)</f>
        <v>#N/A</v>
      </c>
      <c r="M44" t="e">
        <f>VLOOKUP("Pb"&amp;$A44,yyy,6,FALSE)</f>
        <v>#N/A</v>
      </c>
      <c r="N44" t="e">
        <f>VLOOKUP("Pb"&amp;$A44,yyy,7,FALSE)</f>
        <v>#N/A</v>
      </c>
    </row>
    <row r="45" spans="1:14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0"/>
        <v>W</v>
      </c>
      <c r="L45">
        <f>VLOOKUP("Pb"&amp;$A45,yyy,5,FALSE)</f>
        <v>0</v>
      </c>
      <c r="M45">
        <f>VLOOKUP("Pb"&amp;$A45,yyy,6,FALSE)</f>
        <v>-2.472</v>
      </c>
      <c r="N45">
        <f>VLOOKUP("Pb"&amp;$A45,yyy,7,FALSE)</f>
        <v>-2.6360000000000001</v>
      </c>
    </row>
    <row r="46" spans="1:14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0"/>
        <v>W</v>
      </c>
      <c r="L46">
        <f>VLOOKUP("Pb"&amp;$A46,yyy,5,FALSE)</f>
        <v>0</v>
      </c>
      <c r="M46">
        <f>VLOOKUP("Pb"&amp;$A46,yyy,6,FALSE)</f>
        <v>-1.341</v>
      </c>
      <c r="N46">
        <f>VLOOKUP("Pb"&amp;$A46,yyy,7,FALSE)</f>
        <v>-1.524</v>
      </c>
    </row>
    <row r="47" spans="1:14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>
        <v>-2.33</v>
      </c>
      <c r="K47" t="str">
        <f t="shared" si="0"/>
        <v>E</v>
      </c>
      <c r="L47" t="e">
        <f>VLOOKUP("Pb"&amp;$A47,yyy,5,FALSE)</f>
        <v>#N/A</v>
      </c>
      <c r="M47" t="e">
        <f>VLOOKUP("Pb"&amp;$A47,yyy,6,FALSE)</f>
        <v>#N/A</v>
      </c>
      <c r="N47" t="e">
        <f>VLOOKUP("Pb"&amp;$A47,yyy,7,FALSE)</f>
        <v>#N/A</v>
      </c>
    </row>
    <row r="48" spans="1:14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0"/>
        <v>E</v>
      </c>
      <c r="L48" t="e">
        <f>VLOOKUP("Pb"&amp;$A48,yyy,5,FALSE)</f>
        <v>#N/A</v>
      </c>
      <c r="M48" t="e">
        <f>VLOOKUP("Pb"&amp;$A48,yyy,6,FALSE)</f>
        <v>#N/A</v>
      </c>
      <c r="N48" t="e">
        <f>VLOOKUP("Pb"&amp;$A48,yyy,7,FALSE)</f>
        <v>#N/A</v>
      </c>
    </row>
    <row r="49" spans="1:14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0"/>
        <v>E</v>
      </c>
      <c r="L49" t="e">
        <f>VLOOKUP("Pb"&amp;$A49,yyy,5,FALSE)</f>
        <v>#N/A</v>
      </c>
      <c r="M49" t="e">
        <f>VLOOKUP("Pb"&amp;$A49,yyy,6,FALSE)</f>
        <v>#N/A</v>
      </c>
      <c r="N49" t="e">
        <f>VLOOKUP("Pb"&amp;$A49,yyy,7,FALSE)</f>
        <v>#N/A</v>
      </c>
    </row>
    <row r="50" spans="1:14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0"/>
        <v>W</v>
      </c>
      <c r="L50">
        <f>VLOOKUP("Pb"&amp;$A50,yyy,5,FALSE)</f>
        <v>0</v>
      </c>
      <c r="M50">
        <f>VLOOKUP("Pb"&amp;$A50,yyy,6,FALSE)</f>
        <v>0</v>
      </c>
      <c r="N50">
        <f>VLOOKUP("Pb"&amp;$A50,yyy,7,FALSE)</f>
        <v>-1.5209999999999999</v>
      </c>
    </row>
    <row r="51" spans="1:14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0"/>
        <v>W</v>
      </c>
      <c r="L51">
        <f>VLOOKUP("Pb"&amp;$A51,yyy,5,FALSE)</f>
        <v>0</v>
      </c>
      <c r="M51">
        <f>VLOOKUP("Pb"&amp;$A51,yyy,6,FALSE)</f>
        <v>-1.395</v>
      </c>
      <c r="N51">
        <f>VLOOKUP("Pb"&amp;$A51,yyy,7,FALSE)</f>
        <v>-1.5509999999999999</v>
      </c>
    </row>
    <row r="52" spans="1:14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0"/>
        <v>W</v>
      </c>
      <c r="L52">
        <f>VLOOKUP("Pb"&amp;$A52,yyy,5,FALSE)</f>
        <v>0</v>
      </c>
      <c r="M52">
        <f>VLOOKUP("Pb"&amp;$A52,yyy,6,FALSE)</f>
        <v>-1.325</v>
      </c>
      <c r="N52">
        <f>VLOOKUP("Pb"&amp;$A52,yyy,7,FALSE)</f>
        <v>-1.5309999999999999</v>
      </c>
    </row>
    <row r="53" spans="1:14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0"/>
        <v>E</v>
      </c>
      <c r="L53">
        <f>VLOOKUP("Pb"&amp;$A53,yyy,5,FALSE)</f>
        <v>0</v>
      </c>
      <c r="M53">
        <f>VLOOKUP("Pb"&amp;$A53,yyy,6,FALSE)</f>
        <v>-1.331</v>
      </c>
      <c r="N53">
        <f>VLOOKUP("Pb"&amp;$A53,yyy,7,FALSE)</f>
        <v>-1.5129999999999999</v>
      </c>
    </row>
    <row r="54" spans="1:14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0"/>
        <v>E</v>
      </c>
      <c r="L54">
        <f>VLOOKUP("Pb"&amp;$A54,yyy,5,FALSE)</f>
        <v>0</v>
      </c>
      <c r="M54">
        <f>VLOOKUP("Pb"&amp;$A54,yyy,6,FALSE)</f>
        <v>-1.321</v>
      </c>
      <c r="N54">
        <f>VLOOKUP("Pb"&amp;$A54,yyy,7,FALSE)</f>
        <v>-1.474</v>
      </c>
    </row>
    <row r="55" spans="1:14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0"/>
        <v>E</v>
      </c>
      <c r="L55">
        <f>VLOOKUP("Pb"&amp;$A55,yyy,5,FALSE)</f>
        <v>0</v>
      </c>
      <c r="M55">
        <f>VLOOKUP("Pb"&amp;$A55,yyy,6,FALSE)</f>
        <v>-1.3140000000000001</v>
      </c>
      <c r="N55">
        <f>VLOOKUP("Pb"&amp;$A55,yyy,7,FALSE)</f>
        <v>-1.446</v>
      </c>
    </row>
    <row r="56" spans="1:14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0"/>
        <v>W</v>
      </c>
      <c r="L56">
        <f>VLOOKUP("Pb"&amp;$A56,yyy,5,FALSE)</f>
        <v>0</v>
      </c>
      <c r="M56">
        <f>VLOOKUP("Pb"&amp;$A56,yyy,6,FALSE)</f>
        <v>-1.5640000000000001</v>
      </c>
      <c r="N56">
        <f>VLOOKUP("Pb"&amp;$A56,yyy,7,FALSE)</f>
        <v>-1.6919999999999999</v>
      </c>
    </row>
    <row r="57" spans="1:14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0"/>
        <v>W</v>
      </c>
      <c r="L57">
        <f>VLOOKUP("Pb"&amp;$A57,yyy,5,FALSE)</f>
        <v>0</v>
      </c>
      <c r="M57">
        <f>VLOOKUP("Pb"&amp;$A57,yyy,6,FALSE)</f>
        <v>-1.3580000000000001</v>
      </c>
      <c r="N57">
        <f>VLOOKUP("Pb"&amp;$A57,yyy,7,FALSE)</f>
        <v>-1.5149999999999999</v>
      </c>
    </row>
    <row r="58" spans="1:14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0"/>
        <v>W</v>
      </c>
      <c r="L58">
        <f>VLOOKUP("Pb"&amp;$A58,yyy,5,FALSE)</f>
        <v>0</v>
      </c>
      <c r="M58">
        <f>VLOOKUP("Pb"&amp;$A58,yyy,6,FALSE)</f>
        <v>-1.1930000000000001</v>
      </c>
      <c r="N58">
        <f>VLOOKUP("Pb"&amp;$A58,yyy,7,FALSE)</f>
        <v>-1.423</v>
      </c>
    </row>
    <row r="59" spans="1:14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0"/>
        <v>E</v>
      </c>
      <c r="L59">
        <f>VLOOKUP("Pb"&amp;$A59,yyy,5,FALSE)</f>
        <v>0</v>
      </c>
      <c r="M59">
        <f>VLOOKUP("Pb"&amp;$A59,yyy,6,FALSE)</f>
        <v>-0.89500000000000002</v>
      </c>
      <c r="N59">
        <f>VLOOKUP("Pb"&amp;$A59,yyy,7,FALSE)</f>
        <v>-1.17</v>
      </c>
    </row>
    <row r="60" spans="1:14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0"/>
        <v>E</v>
      </c>
      <c r="L60">
        <f>VLOOKUP("Pb"&amp;$A60,yyy,5,FALSE)</f>
        <v>0</v>
      </c>
      <c r="M60">
        <f>VLOOKUP("Pb"&amp;$A60,yyy,6,FALSE)</f>
        <v>-1.1759999999999999</v>
      </c>
      <c r="N60">
        <f>VLOOKUP("Pb"&amp;$A60,yyy,7,FALSE)</f>
        <v>-1.3220000000000001</v>
      </c>
    </row>
    <row r="61" spans="1:14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0"/>
        <v>E</v>
      </c>
      <c r="L61" t="e">
        <f>VLOOKUP("Pb"&amp;$A61,yyy,5,FALSE)</f>
        <v>#N/A</v>
      </c>
      <c r="M61" t="e">
        <f>VLOOKUP("Pb"&amp;$A61,yyy,6,FALSE)</f>
        <v>#N/A</v>
      </c>
      <c r="N61" t="e">
        <f>VLOOKUP("Pb"&amp;$A61,yyy,7,FALSE)</f>
        <v>#N/A</v>
      </c>
    </row>
    <row r="62" spans="1:14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0"/>
        <v>E</v>
      </c>
      <c r="L62" t="e">
        <f>VLOOKUP("Pb"&amp;$A62,yyy,5,FALSE)</f>
        <v>#N/A</v>
      </c>
      <c r="M62" t="e">
        <f>VLOOKUP("Pb"&amp;$A62,yyy,6,FALSE)</f>
        <v>#N/A</v>
      </c>
      <c r="N62" t="e">
        <f>VLOOKUP("Pb"&amp;$A62,yyy,7,FALSE)</f>
        <v>#N/A</v>
      </c>
    </row>
    <row r="63" spans="1:14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0"/>
        <v>W</v>
      </c>
      <c r="L63">
        <f>VLOOKUP("Pb"&amp;$A63,yyy,5,FALSE)</f>
        <v>0</v>
      </c>
      <c r="M63">
        <f>VLOOKUP("Pb"&amp;$A63,yyy,6,FALSE)</f>
        <v>0</v>
      </c>
      <c r="N63">
        <f>VLOOKUP("Pb"&amp;$A63,yyy,7,FALSE)</f>
        <v>-1.86</v>
      </c>
    </row>
    <row r="64" spans="1:14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0"/>
        <v>W</v>
      </c>
      <c r="L64">
        <f>VLOOKUP("Pb"&amp;$A64,yyy,5,FALSE)</f>
        <v>-1.901</v>
      </c>
      <c r="M64">
        <f>VLOOKUP("Pb"&amp;$A64,yyy,6,FALSE)</f>
        <v>-1.911</v>
      </c>
      <c r="N64">
        <f>VLOOKUP("Pb"&amp;$A64,yyy,7,FALSE)</f>
        <v>-1.92</v>
      </c>
    </row>
    <row r="65" spans="1:14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0"/>
        <v>W</v>
      </c>
      <c r="L65">
        <f>VLOOKUP("Pb"&amp;$A65,yyy,5,FALSE)</f>
        <v>-1.8819999999999999</v>
      </c>
      <c r="M65">
        <f>VLOOKUP("Pb"&amp;$A65,yyy,6,FALSE)</f>
        <v>-1.8859999999999999</v>
      </c>
      <c r="N65">
        <f>VLOOKUP("Pb"&amp;$A65,yyy,7,FALSE)</f>
        <v>-1.903</v>
      </c>
    </row>
    <row r="66" spans="1:14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0"/>
        <v>W</v>
      </c>
      <c r="L66">
        <f>VLOOKUP("Pb"&amp;$A66,yyy,5,FALSE)</f>
        <v>-1.7509999999999999</v>
      </c>
      <c r="M66">
        <f>VLOOKUP("Pb"&amp;$A66,yyy,6,FALSE)</f>
        <v>-1.714</v>
      </c>
      <c r="N66">
        <f>VLOOKUP("Pb"&amp;$A66,yyy,7,FALSE)</f>
        <v>-1.7649999999999999</v>
      </c>
    </row>
    <row r="67" spans="1:14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0"/>
        <v>W</v>
      </c>
      <c r="L67">
        <f>VLOOKUP("Pb"&amp;$A67,yyy,5,FALSE)</f>
        <v>-1.5820000000000001</v>
      </c>
      <c r="M67">
        <f>VLOOKUP("Pb"&amp;$A67,yyy,6,FALSE)</f>
        <v>-1.47</v>
      </c>
      <c r="N67">
        <f>VLOOKUP("Pb"&amp;$A67,yyy,7,FALSE)</f>
        <v>-1.597</v>
      </c>
    </row>
    <row r="68" spans="1:14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0"/>
        <v>E</v>
      </c>
      <c r="L68">
        <f>VLOOKUP("Pb"&amp;$A68,yyy,5,FALSE)</f>
        <v>0</v>
      </c>
      <c r="M68">
        <f>VLOOKUP("Pb"&amp;$A68,yyy,6,FALSE)</f>
        <v>-1.1559999999999999</v>
      </c>
      <c r="N68">
        <f>VLOOKUP("Pb"&amp;$A68,yyy,7,FALSE)</f>
        <v>-1.3460000000000001</v>
      </c>
    </row>
    <row r="69" spans="1:14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3">IF(H69&gt;0,"W","E")</f>
        <v>E</v>
      </c>
      <c r="L69">
        <f>VLOOKUP("Pb"&amp;$A69,yyy,5,FALSE)</f>
        <v>0</v>
      </c>
      <c r="M69">
        <f>VLOOKUP("Pb"&amp;$A69,yyy,6,FALSE)</f>
        <v>-1.2250000000000001</v>
      </c>
      <c r="N69">
        <f>VLOOKUP("Pb"&amp;$A69,yyy,7,FALSE)</f>
        <v>-1.3680000000000001</v>
      </c>
    </row>
    <row r="70" spans="1:14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3"/>
        <v>W</v>
      </c>
      <c r="L70">
        <f>VLOOKUP("Pb"&amp;$A70,yyy,5,FALSE)</f>
        <v>0</v>
      </c>
      <c r="M70">
        <f>VLOOKUP("Pb"&amp;$A70,yyy,6,FALSE)</f>
        <v>0</v>
      </c>
      <c r="N70">
        <f>VLOOKUP("Pb"&amp;$A70,yyy,7,FALSE)</f>
        <v>-1.6140000000000001</v>
      </c>
    </row>
    <row r="71" spans="1:14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3"/>
        <v>W</v>
      </c>
      <c r="L71">
        <f>VLOOKUP("Pb"&amp;$A71,yyy,5,FALSE)</f>
        <v>0</v>
      </c>
      <c r="M71">
        <f>VLOOKUP("Pb"&amp;$A71,yyy,6,FALSE)</f>
        <v>0</v>
      </c>
      <c r="N71">
        <f>VLOOKUP("Pb"&amp;$A71,yyy,7,FALSE)</f>
        <v>-1.5640000000000001</v>
      </c>
    </row>
    <row r="72" spans="1:14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3"/>
        <v>W</v>
      </c>
      <c r="L72">
        <f>VLOOKUP("Pb"&amp;$A72,yyy,5,FALSE)</f>
        <v>0</v>
      </c>
      <c r="M72">
        <f>VLOOKUP("Pb"&amp;$A72,yyy,6,FALSE)</f>
        <v>-1.2509999999999999</v>
      </c>
      <c r="N72">
        <f>VLOOKUP("Pb"&amp;$A72,yyy,7,FALSE)</f>
        <v>-1.431</v>
      </c>
    </row>
    <row r="73" spans="1:14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3"/>
        <v>E</v>
      </c>
      <c r="L73" t="e">
        <f>VLOOKUP("Pb"&amp;$A73,yyy,5,FALSE)</f>
        <v>#N/A</v>
      </c>
      <c r="M73" t="e">
        <f>VLOOKUP("Pb"&amp;$A73,yyy,6,FALSE)</f>
        <v>#N/A</v>
      </c>
      <c r="N73" t="e">
        <f>VLOOKUP("Pb"&amp;$A73,yyy,7,FALSE)</f>
        <v>#N/A</v>
      </c>
    </row>
    <row r="74" spans="1:14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3"/>
        <v>E</v>
      </c>
      <c r="L74" t="e">
        <f>VLOOKUP("Pb"&amp;$A74,yyy,5,FALSE)</f>
        <v>#N/A</v>
      </c>
      <c r="M74" t="e">
        <f>VLOOKUP("Pb"&amp;$A74,yyy,6,FALSE)</f>
        <v>#N/A</v>
      </c>
      <c r="N74" t="e">
        <f>VLOOKUP("Pb"&amp;$A74,yyy,7,FALSE)</f>
        <v>#N/A</v>
      </c>
    </row>
    <row r="75" spans="1:14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3"/>
        <v>W</v>
      </c>
      <c r="L75">
        <f>VLOOKUP("Pb"&amp;$A75,yyy,5,FALSE)</f>
        <v>0</v>
      </c>
      <c r="M75">
        <f>VLOOKUP("Pb"&amp;$A75,yyy,6,FALSE)</f>
        <v>0</v>
      </c>
      <c r="N75">
        <f>VLOOKUP("Pb"&amp;$A75,yyy,7,FALSE)</f>
        <v>-1.284</v>
      </c>
    </row>
    <row r="76" spans="1:14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3"/>
        <v>W</v>
      </c>
      <c r="L76">
        <f>VLOOKUP("Pb"&amp;$A76,yyy,5,FALSE)</f>
        <v>0</v>
      </c>
      <c r="M76">
        <f>VLOOKUP("Pb"&amp;$A76,yyy,6,FALSE)</f>
        <v>-0.88600000000000001</v>
      </c>
      <c r="N76">
        <f>VLOOKUP("Pb"&amp;$A76,yyy,7,FALSE)</f>
        <v>-1.1819999999999999</v>
      </c>
    </row>
    <row r="77" spans="1:14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3"/>
        <v>E</v>
      </c>
      <c r="L77">
        <f>VLOOKUP("Pb"&amp;$A77,yyy,5,FALSE)</f>
        <v>0</v>
      </c>
      <c r="M77">
        <f>VLOOKUP("Pb"&amp;$A77,yyy,6,FALSE)</f>
        <v>-0.93300000000000005</v>
      </c>
      <c r="N77">
        <f>VLOOKUP("Pb"&amp;$A77,yyy,7,FALSE)</f>
        <v>-1.1859999999999999</v>
      </c>
    </row>
    <row r="78" spans="1:14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3"/>
        <v>E</v>
      </c>
      <c r="L78">
        <f>VLOOKUP("Pb"&amp;$A78,yyy,5,FALSE)</f>
        <v>0</v>
      </c>
      <c r="M78">
        <f>VLOOKUP("Pb"&amp;$A78,yyy,6,FALSE)</f>
        <v>-1.2070000000000001</v>
      </c>
      <c r="N78">
        <f>VLOOKUP("Pb"&amp;$A78,yyy,7,FALSE)</f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N11"/>
  <sheetViews>
    <sheetView tabSelected="1" workbookViewId="0">
      <selection activeCell="L13" sqref="L13"/>
    </sheetView>
  </sheetViews>
  <sheetFormatPr baseColWidth="10" defaultRowHeight="16" x14ac:dyDescent="0.2"/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16</v>
      </c>
      <c r="F1" t="s">
        <v>8</v>
      </c>
      <c r="G1" t="s">
        <v>13</v>
      </c>
      <c r="H1" t="s">
        <v>12</v>
      </c>
      <c r="I1" t="s">
        <v>11</v>
      </c>
      <c r="J1" t="s">
        <v>10</v>
      </c>
      <c r="K1" t="s">
        <v>15</v>
      </c>
      <c r="L1" t="s">
        <v>6</v>
      </c>
      <c r="M1" t="s">
        <v>7</v>
      </c>
      <c r="N1" t="s">
        <v>84</v>
      </c>
    </row>
    <row r="2" spans="1:14" x14ac:dyDescent="0.2">
      <c r="A2">
        <v>1</v>
      </c>
      <c r="B2">
        <v>129709</v>
      </c>
      <c r="C2">
        <v>475363</v>
      </c>
      <c r="D2">
        <v>4</v>
      </c>
      <c r="E2" s="1" t="s">
        <v>17</v>
      </c>
      <c r="F2" t="s">
        <v>5</v>
      </c>
      <c r="G2">
        <v>48</v>
      </c>
      <c r="H2">
        <v>-2.75</v>
      </c>
      <c r="I2">
        <v>-5.25</v>
      </c>
      <c r="J2">
        <f t="shared" ref="J2:J5" si="0">H2-I2</f>
        <v>2.5</v>
      </c>
      <c r="K2">
        <v>0</v>
      </c>
      <c r="L2">
        <v>-0.4</v>
      </c>
      <c r="M2">
        <v>-0.4</v>
      </c>
      <c r="N2">
        <f>VLOOKUP("Pb"&amp;$A2,yyy,7,FALSE)</f>
        <v>-1.3220000000000001</v>
      </c>
    </row>
    <row r="3" spans="1:14" x14ac:dyDescent="0.2">
      <c r="A3">
        <v>2</v>
      </c>
      <c r="B3">
        <v>129824</v>
      </c>
      <c r="C3">
        <v>475375</v>
      </c>
      <c r="D3">
        <v>4</v>
      </c>
      <c r="E3" s="1" t="s">
        <v>18</v>
      </c>
      <c r="F3" t="s">
        <v>14</v>
      </c>
      <c r="G3">
        <v>52</v>
      </c>
      <c r="H3">
        <v>-3.25</v>
      </c>
      <c r="I3">
        <v>-5.25</v>
      </c>
      <c r="J3">
        <f t="shared" si="0"/>
        <v>2</v>
      </c>
      <c r="K3">
        <v>0</v>
      </c>
      <c r="L3">
        <v>-2.2999999999999998</v>
      </c>
      <c r="M3">
        <v>-2.2999999999999998</v>
      </c>
      <c r="N3">
        <f>VLOOKUP("Pb"&amp;$A3,yyy,7,FALSE)</f>
        <v>-1.3759999999999999</v>
      </c>
    </row>
    <row r="4" spans="1:14" x14ac:dyDescent="0.2">
      <c r="A4">
        <v>3</v>
      </c>
      <c r="B4">
        <v>129798</v>
      </c>
      <c r="C4">
        <v>475375</v>
      </c>
      <c r="D4">
        <v>4</v>
      </c>
      <c r="E4" s="1" t="s">
        <v>17</v>
      </c>
      <c r="F4" t="s">
        <v>14</v>
      </c>
      <c r="G4">
        <v>48</v>
      </c>
      <c r="H4">
        <v>-2</v>
      </c>
      <c r="I4">
        <v>-5.25</v>
      </c>
      <c r="J4">
        <f t="shared" si="0"/>
        <v>3.25</v>
      </c>
      <c r="K4">
        <v>1</v>
      </c>
      <c r="L4">
        <v>-0.4</v>
      </c>
      <c r="M4">
        <v>-0.4</v>
      </c>
      <c r="N4">
        <f>VLOOKUP("Pb"&amp;$A4,yyy,7,FALSE)</f>
        <v>-1.1439999999999999</v>
      </c>
    </row>
    <row r="5" spans="1:14" x14ac:dyDescent="0.2">
      <c r="A5">
        <v>4</v>
      </c>
      <c r="B5">
        <v>129629</v>
      </c>
      <c r="C5">
        <v>474900</v>
      </c>
      <c r="D5">
        <v>5</v>
      </c>
      <c r="E5" s="1" t="s">
        <v>17</v>
      </c>
      <c r="F5" t="s">
        <v>5</v>
      </c>
      <c r="G5">
        <v>48</v>
      </c>
      <c r="H5">
        <v>-3.75</v>
      </c>
      <c r="I5">
        <v>-5.5</v>
      </c>
      <c r="J5">
        <f t="shared" si="0"/>
        <v>1.75</v>
      </c>
      <c r="K5">
        <v>0</v>
      </c>
      <c r="L5">
        <v>-0.4</v>
      </c>
      <c r="M5">
        <v>-0.4</v>
      </c>
      <c r="N5">
        <f>VLOOKUP("Pb"&amp;$A5,yyy,7,FALSE)</f>
        <v>-1.403</v>
      </c>
    </row>
    <row r="6" spans="1:14" x14ac:dyDescent="0.2">
      <c r="A6">
        <v>5</v>
      </c>
      <c r="B6">
        <v>129720</v>
      </c>
      <c r="C6">
        <v>474901</v>
      </c>
      <c r="D6">
        <v>5</v>
      </c>
      <c r="E6" s="1" t="s">
        <v>17</v>
      </c>
      <c r="F6" t="s">
        <v>14</v>
      </c>
      <c r="G6">
        <v>48</v>
      </c>
      <c r="H6">
        <v>-3.75</v>
      </c>
      <c r="I6">
        <v>-4.5</v>
      </c>
      <c r="J6">
        <f>H6-I6</f>
        <v>0.75</v>
      </c>
      <c r="K6">
        <v>0</v>
      </c>
      <c r="L6">
        <v>-0.4</v>
      </c>
      <c r="M6">
        <v>-0.4</v>
      </c>
      <c r="N6">
        <f>VLOOKUP("Pb"&amp;$A6,yyy,7,FALSE)</f>
        <v>-1.3819999999999999</v>
      </c>
    </row>
    <row r="7" spans="1:14" x14ac:dyDescent="0.2">
      <c r="A7">
        <v>6</v>
      </c>
      <c r="B7">
        <v>129720</v>
      </c>
      <c r="C7">
        <v>472009</v>
      </c>
      <c r="D7">
        <v>5</v>
      </c>
      <c r="E7" s="1" t="s">
        <v>18</v>
      </c>
      <c r="F7" t="s">
        <v>14</v>
      </c>
      <c r="G7">
        <v>52</v>
      </c>
      <c r="H7">
        <v>-1.5</v>
      </c>
      <c r="I7">
        <v>-4.25</v>
      </c>
      <c r="J7">
        <f t="shared" ref="J7:J11" si="1">H7-I7</f>
        <v>2.75</v>
      </c>
      <c r="K7">
        <v>1</v>
      </c>
      <c r="L7">
        <v>-2.2999999999999998</v>
      </c>
      <c r="M7">
        <v>-2.2999999999999998</v>
      </c>
      <c r="N7">
        <f>VLOOKUP("Pb"&amp;$A7,yyy,7,FALSE)</f>
        <v>-1.502</v>
      </c>
    </row>
    <row r="8" spans="1:14" x14ac:dyDescent="0.2">
      <c r="A8">
        <v>7</v>
      </c>
      <c r="B8">
        <v>129129</v>
      </c>
      <c r="C8">
        <v>471968</v>
      </c>
      <c r="D8">
        <v>9</v>
      </c>
      <c r="E8" s="1" t="s">
        <v>17</v>
      </c>
      <c r="F8" t="s">
        <v>5</v>
      </c>
      <c r="G8">
        <v>48</v>
      </c>
      <c r="H8">
        <v>-3.75</v>
      </c>
      <c r="I8">
        <v>-6.75</v>
      </c>
      <c r="J8">
        <f t="shared" si="1"/>
        <v>3</v>
      </c>
      <c r="K8">
        <v>0</v>
      </c>
      <c r="L8">
        <v>-0.4</v>
      </c>
      <c r="M8">
        <v>-0.4</v>
      </c>
      <c r="N8">
        <f>VLOOKUP("Pb"&amp;$A8,yyy,7,FALSE)</f>
        <v>-1.4890000000000001</v>
      </c>
    </row>
    <row r="9" spans="1:14" x14ac:dyDescent="0.2">
      <c r="A9">
        <v>8</v>
      </c>
      <c r="B9">
        <v>129212</v>
      </c>
      <c r="C9">
        <v>471972</v>
      </c>
      <c r="D9">
        <v>9</v>
      </c>
      <c r="E9" s="1" t="s">
        <v>18</v>
      </c>
      <c r="F9" t="s">
        <v>14</v>
      </c>
      <c r="G9">
        <v>52</v>
      </c>
      <c r="H9">
        <v>-4</v>
      </c>
      <c r="I9">
        <v>-7.25</v>
      </c>
      <c r="J9">
        <f t="shared" si="1"/>
        <v>3.25</v>
      </c>
      <c r="K9">
        <v>0</v>
      </c>
      <c r="L9">
        <v>-2.25</v>
      </c>
      <c r="M9">
        <v>-2.25</v>
      </c>
      <c r="N9">
        <f>VLOOKUP("Pb"&amp;$A9,yyy,7,FALSE)</f>
        <v>-1.5649999999999999</v>
      </c>
    </row>
    <row r="10" spans="1:14" x14ac:dyDescent="0.2">
      <c r="A10">
        <v>9</v>
      </c>
      <c r="B10">
        <v>129244</v>
      </c>
      <c r="C10">
        <v>471974</v>
      </c>
      <c r="D10">
        <v>9</v>
      </c>
      <c r="E10" s="1" t="s">
        <v>17</v>
      </c>
      <c r="F10" t="s">
        <v>14</v>
      </c>
      <c r="G10">
        <v>48</v>
      </c>
      <c r="H10">
        <v>-3</v>
      </c>
      <c r="I10">
        <v>-7.25</v>
      </c>
      <c r="J10">
        <f t="shared" si="1"/>
        <v>4.25</v>
      </c>
      <c r="K10">
        <v>1</v>
      </c>
      <c r="L10">
        <v>-0.4</v>
      </c>
      <c r="M10">
        <v>-0.4</v>
      </c>
      <c r="N10">
        <f>VLOOKUP("Pb"&amp;$A10,yyy,7,FALSE)</f>
        <v>-1.4810000000000001</v>
      </c>
    </row>
    <row r="11" spans="1:14" x14ac:dyDescent="0.2">
      <c r="A11">
        <v>10</v>
      </c>
      <c r="B11">
        <v>128657</v>
      </c>
      <c r="C11">
        <v>469338</v>
      </c>
      <c r="D11">
        <v>11</v>
      </c>
      <c r="E11" s="1" t="s">
        <v>17</v>
      </c>
      <c r="F11" t="s">
        <v>5</v>
      </c>
      <c r="G11">
        <v>48</v>
      </c>
      <c r="H11">
        <v>-2.75</v>
      </c>
      <c r="I11">
        <v>-7.25</v>
      </c>
      <c r="J11">
        <f t="shared" si="1"/>
        <v>4.5</v>
      </c>
      <c r="K11">
        <v>0</v>
      </c>
      <c r="L11">
        <v>-0.4</v>
      </c>
      <c r="M11">
        <v>-0.4</v>
      </c>
      <c r="N11">
        <f>VLOOKUP("Pb"&amp;$A11,yyy,7,FALSE)</f>
        <v>-1.5589999999999999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19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20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21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22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23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24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25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26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27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87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28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29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30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31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32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33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34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35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36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37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38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39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40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41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42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43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44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45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46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47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48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49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50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51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52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53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54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55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56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57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58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59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60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61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62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63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64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65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66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67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68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69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70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71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72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73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74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75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76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77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78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79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80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81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82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83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88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pbTauw</vt:lpstr>
      <vt:lpstr>pbKanaal</vt:lpstr>
      <vt:lpstr>Sheet2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2026-06-02T23:34:31Z</dcterms:modified>
</cp:coreProperties>
</file>