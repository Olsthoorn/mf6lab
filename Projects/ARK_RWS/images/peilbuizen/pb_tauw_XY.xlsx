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53DB8952-83CA-9D46-9650-2652E78A518A}" xr6:coauthVersionLast="47" xr6:coauthVersionMax="47" xr10:uidLastSave="{00000000-0000-0000-0000-000000000000}"/>
  <bookViews>
    <workbookView xWindow="8160" yWindow="1680" windowWidth="25340" windowHeight="20720" activeTab="5" xr2:uid="{E4383F88-647D-C347-BE79-FF24D0CA7E92}"/>
  </bookViews>
  <sheets>
    <sheet name="pbTauw" sheetId="1" r:id="rId1"/>
    <sheet name="pbKanaal" sheetId="3" r:id="rId2"/>
    <sheet name="joined" sheetId="5" r:id="rId3"/>
    <sheet name="Sheet2" sheetId="4" r:id="rId4"/>
    <sheet name="laagopbouw" sheetId="6" r:id="rId5"/>
    <sheet name="wellen" sheetId="7" r:id="rId6"/>
    <sheet name="raaien" sheetId="8" r:id="rId7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6" l="1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<sst xmlns="http://schemas.openxmlformats.org/spreadsheetml/2006/main" count="255" uniqueCount="119">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</sst>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workbookViewId="0">
      <selection activeCell="L73" sqref="L73:P74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O33" si="1">VLOOKUP("Pb"&amp;$A2,yyy,6,FALSE)</f>
        <v>-1.6919999999999999</v>
      </c>
      <c r="N2">
        <f t="shared" ref="N2:P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4:L65" si="6">VLOOKUP("Pb"&amp;$A35,yyy,5,FALSE)</f>
        <v>0</v>
      </c>
      <c r="M35">
        <f t="shared" ref="M34:O65" si="7">VLOOKUP("Pb"&amp;$A35,yyy,6,FALSE)</f>
        <v>-1.5580000000000001</v>
      </c>
      <c r="N35">
        <f t="shared" ref="N34:P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O78" si="10">VLOOKUP("Pb"&amp;$A66,yyy,6,FALSE)</f>
        <v>-1.714</v>
      </c>
      <c r="N66">
        <f t="shared" ref="N66:P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abSelected="1" workbookViewId="0">
      <selection activeCell="A17" sqref="A17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118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115</v>
      </c>
      <c r="C1" t="s">
        <v>116</v>
      </c>
      <c r="D1" t="s">
        <v>117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pbTauw</vt:lpstr>
      <vt:lpstr>pbKanaal</vt:lpstr>
      <vt:lpstr>joined</vt:lpstr>
      <vt:lpstr>Sheet2</vt:lpstr>
      <vt:lpstr>laagopbouw</vt:lpstr>
      <vt:lpstr>wellen</vt:lpstr>
      <vt:lpstr>raaien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2026-06-04T14:30:26Z</dcterms:modified>
</cp:coreProperties>
</file>